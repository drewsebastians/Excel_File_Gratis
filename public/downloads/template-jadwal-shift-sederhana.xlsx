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dad9559244c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bc28206819a04d7f"/>
    <x:sheet xmlns:r="http://schemas.openxmlformats.org/officeDocument/2006/relationships" name="Daftar Anggota" sheetId="2" r:id="R26f80762c2974604"/>
    <x:sheet xmlns:r="http://schemas.openxmlformats.org/officeDocument/2006/relationships" name="Jadwal Shift" sheetId="3" r:id="R040549c450f8433e"/>
    <x:sheet xmlns:r="http://schemas.openxmlformats.org/officeDocument/2006/relationships" name="Ringkasan" sheetId="4" r:id="R1ed6f810eaa145d1"/>
    <x:sheet xmlns:r="http://schemas.openxmlformats.org/officeDocument/2006/relationships" name="Referensi" sheetId="5" r:id="R87fc27abaad944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hh:mm"/>
    <x:numFmt numFmtId="201" formatCode="yyyy-mm-dd"/>
    <x:numFmt numFmtId="202" formatCode="0.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vertical="top"/>
    </x:xf>
    <x:xf numFmtId="200" fontId="0" fillId="5" borderId="1" xfId="0" applyNumberFormat="1" applyFont="1" applyFill="1" applyBorder="1" applyAlignment="1">
      <x:alignment vertical="top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5" borderId="0" xfId="0" applyNumberFormat="1" applyFont="1" applyFill="1" applyBorder="1"/>
    <x:xf numFmtId="202" fontId="0" fillId="5" borderId="0" xfId="0" applyNumberFormat="1" applyFont="1" applyFill="1" applyBorder="1"/>
    <x:xf numFmtId="201" fontId="0" fillId="5" borderId="1" xfId="0" applyNumberFormat="1" applyFont="1" applyFill="1" applyBorder="1"/>
    <x:xf numFmtId="202" fontId="0" fillId="5" borderId="1" xfId="0" applyNumberFormat="1" applyFont="1" applyFill="1" applyBorder="1"/>
    <x:xf numFmtId="201" fontId="0" fillId="5" borderId="1" xfId="0" applyNumberFormat="1" applyFont="1" applyFill="1" applyBorder="1" applyAlignment="1">
      <x:alignment vertical="top"/>
    </x:xf>
    <x:xf numFmtId="202" fontId="0" fillId="5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91e268f8b0418f" /><Relationship Type="http://schemas.openxmlformats.org/officeDocument/2006/relationships/theme" Target="/xl/theme/theme1.xml" Id="R6a11634f128e49b6" /><Relationship Type="http://schemas.openxmlformats.org/officeDocument/2006/relationships/sharedStrings" Target="/xl/sharedStrings.xml" Id="R14fdee0986af4dae" /><Relationship Type="http://schemas.openxmlformats.org/officeDocument/2006/relationships/worksheet" Target="/xl/worksheets/sheet1.xml" Id="Rbc28206819a04d7f" /><Relationship Type="http://schemas.openxmlformats.org/officeDocument/2006/relationships/worksheet" Target="/xl/worksheets/sheet2.xml" Id="R26f80762c2974604" /><Relationship Type="http://schemas.openxmlformats.org/officeDocument/2006/relationships/worksheet" Target="/xl/worksheets/sheet3.xml" Id="R040549c450f8433e" /><Relationship Type="http://schemas.openxmlformats.org/officeDocument/2006/relationships/worksheet" Target="/xl/worksheets/sheet4.xml" Id="R1ed6f810eaa145d1" /><Relationship Type="http://schemas.openxmlformats.org/officeDocument/2006/relationships/worksheet" Target="/xl/worksheets/sheet5.xml" Id="R87fc27abaad9441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1456c395c90482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Jumlah Penugasan per Shift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'Ringkasan'!$A$10:$A$12</c:f>
              <c:strCache>
                <c:ptCount val="0"/>
              </c:strCache>
            </c:strRef>
          </c:cat>
          <c:val>
            <c:numRef>
              <c:f>'Ringkasan'!$B$10:$B$12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456c395c90482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ShiftMembersTable" displayName="ShiftMembersTable" ref="A3:E6" headerRowCount="1" totalsRowCount="0" totalsRowShown="0">
  <x:tableColumns count="5">
    <x:tableColumn id="1" name="ID"/>
    <x:tableColumn id="2" name="Nama"/>
    <x:tableColumn id="3" name="Peran"/>
    <x:tableColumn id="4" name="Area Utama"/>
    <x:tableColumn id="5" name="Catat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ShiftScheduleTable" displayName="ShiftScheduleTable" ref="A3:L9" headerRowCount="1" totalsRowCount="0" totalsRowShown="0">
  <x:tableColumns count="12">
    <x:tableColumn id="1" name="ID Jadwal"/>
    <x:tableColumn id="2" name="Tanggal"/>
    <x:tableColumn id="3" name="Hari"/>
    <x:tableColumn id="4" name="Nama"/>
    <x:tableColumn id="5" name="Shift"/>
    <x:tableColumn id="6" name="Jam Mulai"/>
    <x:tableColumn id="7" name="Jam Selesai"/>
    <x:tableColumn id="8" name="Area Kerja"/>
    <x:tableColumn id="9" name="Status"/>
    <x:tableColumn id="10" name="Durasi Jam"/>
    <x:tableColumn id="11" name="Peringatan"/>
    <x:tableColumn id="12" name="Catata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ShiftReferenceTable" displayName="ShiftReferenceTable" ref="A3:D6" headerRowCount="1" totalsRowCount="0" totalsRowShown="0">
  <x:tableColumns count="4">
    <x:tableColumn id="1" name="Nama Shift"/>
    <x:tableColumn id="2" name="Jam Mulai"/>
    <x:tableColumn id="3" name="Jam Selesai"/>
    <x:tableColumn id="4" name="Area Kerj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52040a416940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6a1d71d0dc49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bf4ae021ea7941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a6d200e30df47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8" customHeight="1">
      <x:c r="A1" s="3" t="str">
        <x:v>Template Jadwal Shift Sederhana</x:v>
      </x:c>
      <x:c r="B1" s="3" t="str">
        <x:v>Template Jadwal Shift Sederhana</x:v>
      </x:c>
      <x:c r="C1" s="3" t="str">
        <x:v>Template Jadwal Shift Sederhana</x:v>
      </x:c>
      <x:c r="D1" s="3" t="str">
        <x:v>Template Jadwal Shift Sederhana</x:v>
      </x:c>
      <x:c r="E1" s="3" t="str">
        <x:v>Template Jadwal Shift Sederhana</x:v>
      </x:c>
      <x:c r="F1" s="3" t="str">
        <x:v>Template Jadwal Shift Sederhana</x:v>
      </x:c>
    </x:row>
    <x:row r="3">
      <x:c r="A3" s="5" t="str">
        <x:v>Mulai dari sini</x:v>
      </x:c>
      <x:c r="B3" s="5" t="str">
        <x:v>Mulai dari sini</x:v>
      </x:c>
      <x:c r="C3" s="5" t="str">
        <x:v>Mulai dari sini</x:v>
      </x:c>
      <x:c r="D3" s="5" t="str">
        <x:v>Mulai dari sini</x:v>
      </x:c>
      <x:c r="E3" s="5" t="str">
        <x:v>Mulai dari sini</x:v>
      </x:c>
      <x:c r="F3" s="5" t="str">
        <x:v>Mulai dari sini</x:v>
      </x:c>
    </x:row>
    <x:row r="5">
      <x:c r="A5" s="7" t="n">
        <x:v>1</x:v>
      </x:c>
      <x:c r="B5" s="8" t="str">
        <x:v>Tambahkan anggota dan area kerja pada sheet Referensi atau Daftar Anggota.</x:v>
      </x:c>
      <x:c r="C5" s="7"/>
      <x:c r="D5" s="7"/>
      <x:c r="E5" s="7"/>
      <x:c r="F5" s="7"/>
    </x:row>
    <x:row r="6">
      <x:c r="A6" s="7" t="n">
        <x:v>2</x:v>
      </x:c>
      <x:c r="B6" s="8" t="str">
        <x:v>Isi satu penugasan per baris di Jadwal Shift, lalu pilih shift dan status dari dropdown.</x:v>
      </x:c>
      <x:c r="C6" s="7"/>
      <x:c r="D6" s="7"/>
      <x:c r="E6" s="7"/>
      <x:c r="F6" s="7"/>
    </x:row>
    <x:row r="7">
      <x:c r="A7" s="7" t="n">
        <x:v>3</x:v>
      </x:c>
      <x:c r="B7" s="8" t="str">
        <x:v>Gunakan jam mulai dan selesai sebagai waktu Excel agar durasi terbaca otomatis.</x:v>
      </x:c>
      <x:c r="C7" s="7"/>
      <x:c r="D7" s="7"/>
      <x:c r="E7" s="7"/>
      <x:c r="F7" s="7"/>
    </x:row>
    <x:row r="8">
      <x:c r="A8" s="7" t="n">
        <x:v>4</x:v>
      </x:c>
      <x:c r="B8" s="8" t="str">
        <x:v>Periksa Ringkasan untuk jumlah shift sederhana per anggota dan per jenis shift.</x:v>
      </x:c>
      <x:c r="C8" s="7"/>
      <x:c r="D8" s="7"/>
      <x:c r="E8" s="7"/>
      <x:c r="F8" s="7"/>
    </x:row>
    <x:row r="11">
      <x:c r="A11" s="5" t="str">
        <x:v>Batasan penggunaan</x:v>
      </x:c>
      <x:c r="B11" s="5" t="str">
        <x:v>Batasan penggunaan</x:v>
      </x:c>
      <x:c r="C11" s="5" t="str">
        <x:v>Batasan penggunaan</x:v>
      </x:c>
      <x:c r="D11" s="5" t="str">
        <x:v>Batasan penggunaan</x:v>
      </x:c>
      <x:c r="E11" s="5" t="str">
        <x:v>Batasan penggunaan</x:v>
      </x:c>
      <x:c r="F11" s="5" t="str">
        <x:v>Batasan penggunaan</x:v>
      </x:c>
    </x:row>
    <x:row r="13">
      <x:c r="A13" s="22" t="str">
        <x:v>Template ini adalah alat perencanaan jadwal sederhana. Template ini tidak menghitung payroll, lembur, hak cuti, kepatuhan ketenagakerjaan, atau memberikan saran HR maupun hukum.</x:v>
      </x:c>
      <x:c r="B13" s="23" t="str">
        <x:v>Template ini adalah alat perencanaan jadwal sederhana. Template ini tidak menghitung payroll, lembur, hak cuti, kepatuhan ketenagakerjaan, atau memberikan saran HR maupun hukum.</x:v>
      </x:c>
      <x:c r="C13" s="23" t="str">
        <x:v>Template ini adalah alat perencanaan jadwal sederhana. Template ini tidak menghitung payroll, lembur, hak cuti, kepatuhan ketenagakerjaan, atau memberikan saran HR maupun hukum.</x:v>
      </x:c>
      <x:c r="D13" s="23" t="str">
        <x:v>Template ini adalah alat perencanaan jadwal sederhana. Template ini tidak menghitung payroll, lembur, hak cuti, kepatuhan ketenagakerjaan, atau memberikan saran HR maupun hukum.</x:v>
      </x:c>
      <x:c r="E13" s="23" t="str">
        <x:v>Template ini adalah alat perencanaan jadwal sederhana. Template ini tidak menghitung payroll, lembur, hak cuti, kepatuhan ketenagakerjaan, atau memberikan saran HR maupun hukum.</x:v>
      </x:c>
      <x:c r="F13" s="24" t="str">
        <x:v>Template ini adalah alat perencanaan jadwal sederhana. Template ini tidak menghitung payroll, lembur, hak cuti, kepatuhan ketenagakerjaan, atau memberikan saran HR maupun hukum.</x:v>
      </x:c>
    </x:row>
    <x:row r="14">
      <x:c r="A14" s="25" t="str">
        <x:v>Template ini adalah alat perencanaan jadwal sederhana. Template ini tidak menghitung payroll, lembur, hak cuti, kepatuhan ketenagakerjaan, atau memberikan saran HR maupun hukum.</x:v>
      </x:c>
      <x:c r="B14" s="26" t="str">
        <x:v>Template ini adalah alat perencanaan jadwal sederhana. Template ini tidak menghitung payroll, lembur, hak cuti, kepatuhan ketenagakerjaan, atau memberikan saran HR maupun hukum.</x:v>
      </x:c>
      <x:c r="C14" s="26" t="str">
        <x:v>Template ini adalah alat perencanaan jadwal sederhana. Template ini tidak menghitung payroll, lembur, hak cuti, kepatuhan ketenagakerjaan, atau memberikan saran HR maupun hukum.</x:v>
      </x:c>
      <x:c r="D14" s="26" t="str">
        <x:v>Template ini adalah alat perencanaan jadwal sederhana. Template ini tidak menghitung payroll, lembur, hak cuti, kepatuhan ketenagakerjaan, atau memberikan saran HR maupun hukum.</x:v>
      </x:c>
      <x:c r="E14" s="26" t="str">
        <x:v>Template ini adalah alat perencanaan jadwal sederhana. Template ini tidak menghitung payroll, lembur, hak cuti, kepatuhan ketenagakerjaan, atau memberikan saran HR maupun hukum.</x:v>
      </x:c>
      <x:c r="F14" s="27" t="str">
        <x:v>Template ini adalah alat perencanaan jadwal sederhana. Template ini tidak menghitung payroll, lembur, hak cuti, kepatuhan ketenagakerjaan, atau memberikan saran HR maupun hukum.</x:v>
      </x:c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8" customHeight="1">
      <x:c r="A1" s="3" t="str">
        <x:v>DAFTAR ANGGOTA</x:v>
      </x:c>
      <x:c r="B1" s="3" t="str">
        <x:v>DAFTAR ANGGOTA</x:v>
      </x:c>
      <x:c r="C1" s="3" t="str">
        <x:v>DAFTAR ANGGOTA</x:v>
      </x:c>
      <x:c r="D1" s="3" t="str">
        <x:v>DAFTAR ANGGOTA</x:v>
      </x:c>
      <x:c r="E1" s="3" t="str">
        <x:v>DAFTAR ANGGOTA</x:v>
      </x:c>
    </x:row>
    <x:row r="3">
      <x:c r="A3" s="31" t="str">
        <x:v>ID</x:v>
      </x:c>
      <x:c r="B3" s="31" t="str">
        <x:v>Nama</x:v>
      </x:c>
      <x:c r="C3" s="31" t="str">
        <x:v>Peran</x:v>
      </x:c>
      <x:c r="D3" s="31" t="str">
        <x:v>Area Utama</x:v>
      </x:c>
      <x:c r="E3" s="31" t="str">
        <x:v>Catatan</x:v>
      </x:c>
    </x:row>
    <x:row r="4">
      <x:c r="A4" s="37" t="str">
        <x:v>AGT-001</x:v>
      </x:c>
      <x:c r="B4" s="37" t="str">
        <x:v>Andi</x:v>
      </x:c>
      <x:c r="C4" s="37" t="str">
        <x:v>Koordinator</x:v>
      </x:c>
      <x:c r="D4" s="37" t="str">
        <x:v>Layanan</x:v>
      </x:c>
      <x:c r="E4" s="37" t="str">
        <x:v>Contoh</x:v>
      </x:c>
    </x:row>
    <x:row r="5">
      <x:c r="A5" s="37" t="str">
        <x:v>AGT-002</x:v>
      </x:c>
      <x:c r="B5" s="37" t="str">
        <x:v>Sari</x:v>
      </x:c>
      <x:c r="C5" s="37" t="str">
        <x:v>Staf</x:v>
      </x:c>
      <x:c r="D5" s="37" t="str">
        <x:v>Operasional</x:v>
      </x:c>
      <x:c r="E5" s="37" t="str">
        <x:v>Contoh</x:v>
      </x:c>
    </x:row>
    <x:row r="6">
      <x:c r="A6" s="37" t="str">
        <x:v>AGT-003</x:v>
      </x:c>
      <x:c r="B6" s="37" t="str">
        <x:v>Bima</x:v>
      </x:c>
      <x:c r="C6" s="37" t="str">
        <x:v>Staf</x:v>
      </x:c>
      <x:c r="D6" s="37" t="str">
        <x:v>Gudang</x:v>
      </x:c>
      <x:c r="E6" s="37" t="str">
        <x:v>Contoh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052040a416940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20" hidden="0" customWidth="1"/>
    <x:col min="12" max="12" width="17" hidden="0" customWidth="1"/>
  </x:cols>
  <x:sheetData>
    <x:row r="1" ht="28" customHeight="1">
      <x:c r="A1" s="3" t="str">
        <x:v>JADWAL SHIFT</x:v>
      </x:c>
      <x:c r="B1" s="3" t="str">
        <x:v>JADWAL SHIFT</x:v>
      </x:c>
      <x:c r="C1" s="3" t="str">
        <x:v>JADWAL SHIFT</x:v>
      </x:c>
      <x:c r="D1" s="3" t="str">
        <x:v>JADWAL SHIFT</x:v>
      </x:c>
      <x:c r="E1" s="3" t="str">
        <x:v>JADWAL SHIFT</x:v>
      </x:c>
      <x:c r="F1" s="3" t="str">
        <x:v>JADWAL SHIFT</x:v>
      </x:c>
      <x:c r="G1" s="3" t="str">
        <x:v>JADWAL SHIFT</x:v>
      </x:c>
      <x:c r="H1" s="3" t="str">
        <x:v>JADWAL SHIFT</x:v>
      </x:c>
      <x:c r="I1" s="3" t="str">
        <x:v>JADWAL SHIFT</x:v>
      </x:c>
      <x:c r="J1" s="3" t="str">
        <x:v>JADWAL SHIFT</x:v>
      </x:c>
      <x:c r="K1" s="3" t="str">
        <x:v>JADWAL SHIFT</x:v>
      </x:c>
      <x:c r="L1" s="3" t="str">
        <x:v>JADWAL SHIFT</x:v>
      </x:c>
    </x:row>
    <x:row r="3">
      <x:c r="A3" s="31" t="str">
        <x:v>ID Jadwal</x:v>
      </x:c>
      <x:c r="B3" s="31" t="str">
        <x:v>Tanggal</x:v>
      </x:c>
      <x:c r="C3" s="31" t="str">
        <x:v>Hari</x:v>
      </x:c>
      <x:c r="D3" s="31" t="str">
        <x:v>Nama</x:v>
      </x:c>
      <x:c r="E3" s="31" t="str">
        <x:v>Shift</x:v>
      </x:c>
      <x:c r="F3" s="31" t="str">
        <x:v>Jam Mulai</x:v>
      </x:c>
      <x:c r="G3" s="31" t="str">
        <x:v>Jam Selesai</x:v>
      </x:c>
      <x:c r="H3" s="31" t="str">
        <x:v>Area Kerja</x:v>
      </x:c>
      <x:c r="I3" s="31" t="str">
        <x:v>Status</x:v>
      </x:c>
      <x:c r="J3" s="31" t="str">
        <x:v>Durasi Jam</x:v>
      </x:c>
      <x:c r="K3" s="31" t="str">
        <x:v>Peringatan</x:v>
      </x:c>
      <x:c r="L3" s="31" t="str">
        <x:v>Catatan</x:v>
      </x:c>
    </x:row>
    <x:row r="4">
      <x:c r="A4" s="37" t="str">
        <x:v>JDL-001</x:v>
      </x:c>
      <x:c r="B4" s="45" t="n">
        <x:v>46216</x:v>
      </x:c>
      <x:c r="C4" s="37" t="str">
        <x:f>IF(B4="","",TEXT(B4,"dddd"))</x:f>
        <x:v>Monday</x:v>
      </x:c>
      <x:c r="D4" s="37" t="str">
        <x:v>Andi</x:v>
      </x:c>
      <x:c r="E4" s="37" t="str">
        <x:v>Pagi</x:v>
      </x:c>
      <x:c r="F4" s="38" t="n">
        <x:v>0.3333333333333333</x:v>
      </x:c>
      <x:c r="G4" s="38" t="n">
        <x:v>0.6666666666666666</x:v>
      </x:c>
      <x:c r="H4" s="37" t="str">
        <x:v>Layanan</x:v>
      </x:c>
      <x:c r="I4" s="37" t="str">
        <x:v>Dijadwalkan</x:v>
      </x:c>
      <x:c r="J4" s="46" t="n">
        <x:f>IF(OR(A4="",F4="",G4=""),"",MOD(G4-F4,1)*24)</x:f>
        <x:v>8</x:v>
      </x:c>
      <x:c r="K4" s="37" t="str">
        <x:f>IF(A4="","",IF(J4="","Lengkapi jam",IF(J4=0,"Cek durasi nol","")))</x:f>
      </x:c>
      <x:c r="L4" s="37" t="str">
        <x:v>Contoh</x:v>
      </x:c>
    </x:row>
    <x:row r="5">
      <x:c r="A5" s="37" t="str">
        <x:v>JDL-002</x:v>
      </x:c>
      <x:c r="B5" s="45" t="n">
        <x:v>46216</x:v>
      </x:c>
      <x:c r="C5" s="37" t="str">
        <x:f>IF(B5="","",TEXT(B5,"dddd"))</x:f>
        <x:v>Monday</x:v>
      </x:c>
      <x:c r="D5" s="37" t="str">
        <x:v>Sari</x:v>
      </x:c>
      <x:c r="E5" s="37" t="str">
        <x:v>Siang</x:v>
      </x:c>
      <x:c r="F5" s="38" t="n">
        <x:v>0.5</x:v>
      </x:c>
      <x:c r="G5" s="38" t="n">
        <x:v>0.8333333333333334</x:v>
      </x:c>
      <x:c r="H5" s="37" t="str">
        <x:v>Operasional</x:v>
      </x:c>
      <x:c r="I5" s="37" t="str">
        <x:v>Dijadwalkan</x:v>
      </x:c>
      <x:c r="J5" s="46" t="n">
        <x:f>IF(OR(A5="",F5="",G5=""),"",MOD(G5-F5,1)*24)</x:f>
        <x:v>8</x:v>
      </x:c>
      <x:c r="K5" s="37" t="str">
        <x:f>IF(A5="","",IF(J5="","Lengkapi jam",IF(J5=0,"Cek durasi nol","")))</x:f>
      </x:c>
      <x:c r="L5" s="37" t="str">
        <x:v>Contoh</x:v>
      </x:c>
    </x:row>
    <x:row r="6">
      <x:c r="A6" s="37" t="str">
        <x:v>JDL-003</x:v>
      </x:c>
      <x:c r="B6" s="45" t="n">
        <x:v>46217</x:v>
      </x:c>
      <x:c r="C6" s="37" t="str">
        <x:f>IF(B6="","",TEXT(B6,"dddd"))</x:f>
        <x:v>Tuesday</x:v>
      </x:c>
      <x:c r="D6" s="37" t="str">
        <x:v>Bima</x:v>
      </x:c>
      <x:c r="E6" s="37" t="str">
        <x:v>Malam</x:v>
      </x:c>
      <x:c r="F6" s="38" t="n">
        <x:v>0.8333333333333334</x:v>
      </x:c>
      <x:c r="G6" s="38" t="n">
        <x:v>0.16666666666666666</x:v>
      </x:c>
      <x:c r="H6" s="37" t="str">
        <x:v>Gudang</x:v>
      </x:c>
      <x:c r="I6" s="37" t="str">
        <x:v>Dijadwalkan</x:v>
      </x:c>
      <x:c r="J6" s="46" t="n">
        <x:f>IF(OR(A6="",F6="",G6=""),"",MOD(G6-F6,1)*24)</x:f>
        <x:v>7.999999999999998</x:v>
      </x:c>
      <x:c r="K6" s="37" t="str">
        <x:f>IF(A6="","",IF(J6="","Lengkapi jam",IF(J6=0,"Cek durasi nol","")))</x:f>
      </x:c>
      <x:c r="L6" s="37" t="str">
        <x:v>Lintas tengah malam</x:v>
      </x:c>
    </x:row>
    <x:row r="7">
      <x:c r="A7" s="37" t="str">
        <x:v>JDL-004</x:v>
      </x:c>
      <x:c r="B7" s="45" t="n">
        <x:v>46217</x:v>
      </x:c>
      <x:c r="C7" s="37" t="str">
        <x:f>IF(B7="","",TEXT(B7,"dddd"))</x:f>
        <x:v>Tuesday</x:v>
      </x:c>
      <x:c r="D7" s="37" t="str">
        <x:v>Andi</x:v>
      </x:c>
      <x:c r="E7" s="37" t="str">
        <x:v>Pagi</x:v>
      </x:c>
      <x:c r="F7" s="38" t="n">
        <x:v>0.3333333333333333</x:v>
      </x:c>
      <x:c r="G7" s="38" t="n">
        <x:v>0.6666666666666666</x:v>
      </x:c>
      <x:c r="H7" s="37" t="str">
        <x:v>Layanan</x:v>
      </x:c>
      <x:c r="I7" s="37" t="str">
        <x:v>Selesai</x:v>
      </x:c>
      <x:c r="J7" s="46" t="n">
        <x:f>IF(OR(A7="",F7="",G7=""),"",MOD(G7-F7,1)*24)</x:f>
        <x:v>8</x:v>
      </x:c>
      <x:c r="K7" s="37" t="str">
        <x:f>IF(A7="","",IF(J7="","Lengkapi jam",IF(J7=0,"Cek durasi nol","")))</x:f>
      </x:c>
      <x:c r="L7" s="37" t="str">
        <x:v>Contoh</x:v>
      </x:c>
    </x:row>
    <x:row r="8">
      <x:c r="A8" s="37" t="str">
        <x:v>JDL-005</x:v>
      </x:c>
      <x:c r="B8" s="45"/>
      <x:c r="C8" s="37" t="str">
        <x:f>IF(B8="","",TEXT(B8,"dddd"))</x:f>
      </x:c>
      <x:c r="D8" s="37" t="str"/>
      <x:c r="E8" s="37" t="str"/>
      <x:c r="F8" s="38"/>
      <x:c r="G8" s="38"/>
      <x:c r="H8" s="37" t="str"/>
      <x:c r="I8" s="37" t="str">
        <x:v>Dijadwalkan</x:v>
      </x:c>
      <x:c r="J8" s="46" t="str">
        <x:f>IF(OR(A8="",F8="",G8=""),"",MOD(G8-F8,1)*24)</x:f>
      </x:c>
      <x:c r="K8" s="37" t="str">
        <x:f>IF(A8="","",IF(J8="","Lengkapi jam",IF(J8=0,"Cek durasi nol","")))</x:f>
        <x:v>Lengkapi jam</x:v>
      </x:c>
      <x:c r="L8" s="37" t="str">
        <x:v>Baris siap pakai</x:v>
      </x:c>
    </x:row>
    <x:row r="9">
      <x:c r="A9" s="37" t="str"/>
      <x:c r="B9" s="45"/>
      <x:c r="C9" s="37" t="str">
        <x:f>IF(B9="","",TEXT(B9,"dddd"))</x:f>
      </x:c>
      <x:c r="D9" s="37" t="str"/>
      <x:c r="E9" s="37" t="str"/>
      <x:c r="F9" s="38"/>
      <x:c r="G9" s="38"/>
      <x:c r="H9" s="37" t="str"/>
      <x:c r="I9" s="37" t="str"/>
      <x:c r="J9" s="46" t="str">
        <x:f>IF(OR(A9="",F9="",G9=""),"",MOD(G9-F9,1)*24)</x:f>
      </x:c>
      <x:c r="K9" s="37" t="str">
        <x:f>IF(A9="","",IF(J9="","Lengkapi jam",IF(J9=0,"Cek durasi nol","")))</x:f>
      </x:c>
      <x:c r="L9" s="37" t="str"/>
    </x:row>
  </x:sheetData>
  <x:mergeCells>
    <x:mergeCell ref="A1:L1"/>
  </x:mergeCells>
  <x:dataValidations count="4">
    <x:dataValidation type="list" sqref="D4:D200">
      <x:formula1>"Andi,Sari,Bima"</x:formula1>
    </x:dataValidation>
    <x:dataValidation type="list" sqref="E4:E200">
      <x:formula1>'Referensi'!$A$4:$A$6</x:formula1>
    </x:dataValidation>
    <x:dataValidation type="list" sqref="H4:H200">
      <x:formula1>'Referensi'!$D$4:$D$6</x:formula1>
    </x:dataValidation>
    <x:dataValidation type="list" sqref="I4:I200">
      <x:formula1>"Dijadwalkan,Selesai,Batal"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6a1d71d0dc49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8" customHeight="1">
      <x:c r="A1" s="3" t="str">
        <x:v>RINGKASAN SHIFT</x:v>
      </x:c>
      <x:c r="B1" s="3" t="str">
        <x:v>RINGKASAN SHIFT</x:v>
      </x:c>
      <x:c r="C1" s="3" t="str">
        <x:v>RINGKASAN SHIFT</x:v>
      </x:c>
      <x:c r="D1" s="3" t="str">
        <x:v>RINGKASAN SHIFT</x:v>
      </x:c>
      <x:c r="E1" s="3" t="str">
        <x:v>RINGKASAN SHIFT</x:v>
      </x:c>
      <x:c r="F1" s="3" t="str">
        <x:v>RINGKASAN SHIFT</x:v>
      </x:c>
      <x:c r="G1" s="3" t="str">
        <x:v>RINGKASAN SHIFT</x:v>
      </x:c>
      <x:c r="H1" s="3" t="str">
        <x:v>RINGKASAN SHIFT</x:v>
      </x:c>
      <x:c r="I1" s="3" t="str">
        <x:v>RINGKASAN SHIFT</x:v>
      </x:c>
      <x:c r="J1" s="3" t="str">
        <x:v>RINGKASAN SHIFT</x:v>
      </x:c>
    </x:row>
    <x:row r="3">
      <x:c r="A3" s="7" t="str">
        <x:v>Andi</x:v>
      </x:c>
      <x:c r="B3" s="7" t="n">
        <x:f>COUNTIFS('Jadwal Shift'!$D$4:$D$200,A3,'Jadwal Shift'!$A$4:$A$200,"&lt;&gt;")</x:f>
        <x:v>2</x:v>
      </x:c>
    </x:row>
    <x:row r="4">
      <x:c r="A4" s="7" t="str">
        <x:v>Sari</x:v>
      </x:c>
      <x:c r="B4" s="7" t="n">
        <x:f>COUNTIFS('Jadwal Shift'!$D$4:$D$200,A4,'Jadwal Shift'!$A$4:$A$200,"&lt;&gt;")</x:f>
        <x:v>1</x:v>
      </x:c>
    </x:row>
    <x:row r="5">
      <x:c r="A5" s="7" t="str">
        <x:v>Bima</x:v>
      </x:c>
      <x:c r="B5" s="7" t="n">
        <x:f>COUNTIFS('Jadwal Shift'!$D$4:$D$200,A5,'Jadwal Shift'!$A$4:$A$200,"&lt;&gt;")</x:f>
        <x:v>1</x:v>
      </x:c>
    </x:row>
    <x:row r="6">
      <x:c r="A6" s="7" t="str">
        <x:v>Total Jam Tercatat</x:v>
      </x:c>
      <x:c r="B6" s="7" t="n">
        <x:f>SUM('Jadwal Shift'!$J$4:$J$200)</x:f>
        <x:v>32</x:v>
      </x:c>
    </x:row>
    <x:row r="9">
      <x:c r="A9" s="31" t="str">
        <x:v>Shift</x:v>
      </x:c>
      <x:c r="B9" s="31" t="str">
        <x:v>Jumlah</x:v>
      </x:c>
    </x:row>
    <x:row r="10">
      <x:c r="A10" s="7" t="str">
        <x:v>Pagi</x:v>
      </x:c>
      <x:c r="B10" s="7" t="n">
        <x:f>COUNTIF('Jadwal Shift'!$E$4:$E$200,A10)</x:f>
        <x:v>2</x:v>
      </x:c>
    </x:row>
    <x:row r="11">
      <x:c r="A11" s="7" t="str">
        <x:v>Siang</x:v>
      </x:c>
      <x:c r="B11" s="7" t="n">
        <x:f>COUNTIF('Jadwal Shift'!$E$4:$E$200,A11)</x:f>
        <x:v>1</x:v>
      </x:c>
    </x:row>
    <x:row r="12">
      <x:c r="A12" s="7" t="str">
        <x:v>Malam</x:v>
      </x:c>
      <x:c r="B12" s="7" t="n">
        <x:f>COUNTIF('Jadwal Shift'!$E$4:$E$200,A12)</x:f>
        <x:v>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bf4ae021ea794159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8" customHeight="1">
      <x:c r="A1" s="3" t="str">
        <x:v>REFERENSI SHIFT</x:v>
      </x:c>
      <x:c r="B1" s="3" t="str">
        <x:v>REFERENSI SHIFT</x:v>
      </x:c>
      <x:c r="C1" s="3" t="str">
        <x:v>REFERENSI SHIFT</x:v>
      </x:c>
      <x:c r="D1" s="3" t="str">
        <x:v>REFERENSI SHIFT</x:v>
      </x:c>
    </x:row>
    <x:row r="3">
      <x:c r="A3" s="31" t="str">
        <x:v>Nama Shift</x:v>
      </x:c>
      <x:c r="B3" s="31" t="str">
        <x:v>Jam Mulai</x:v>
      </x:c>
      <x:c r="C3" s="31" t="str">
        <x:v>Jam Selesai</x:v>
      </x:c>
      <x:c r="D3" s="31" t="str">
        <x:v>Area Kerja</x:v>
      </x:c>
    </x:row>
    <x:row r="4">
      <x:c r="A4" s="37" t="str">
        <x:v>Pagi</x:v>
      </x:c>
      <x:c r="B4" s="38" t="n">
        <x:v>0.3333333333333333</x:v>
      </x:c>
      <x:c r="C4" s="38" t="n">
        <x:v>0.6666666666666666</x:v>
      </x:c>
      <x:c r="D4" s="37" t="str">
        <x:v>Layanan</x:v>
      </x:c>
    </x:row>
    <x:row r="5">
      <x:c r="A5" s="37" t="str">
        <x:v>Siang</x:v>
      </x:c>
      <x:c r="B5" s="38" t="n">
        <x:v>0.5</x:v>
      </x:c>
      <x:c r="C5" s="38" t="n">
        <x:v>0.8333333333333334</x:v>
      </x:c>
      <x:c r="D5" s="37" t="str">
        <x:v>Operasional</x:v>
      </x:c>
    </x:row>
    <x:row r="6">
      <x:c r="A6" s="37" t="str">
        <x:v>Malam</x:v>
      </x:c>
      <x:c r="B6" s="38" t="n">
        <x:v>0.8333333333333334</x:v>
      </x:c>
      <x:c r="C6" s="38" t="n">
        <x:v>0.16666666666666666</x:v>
      </x:c>
      <x:c r="D6" s="37" t="str">
        <x:v>Gudang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1a6d200e30df4715"/>
  </x:tableParts>
</x:worksheet>
</file>