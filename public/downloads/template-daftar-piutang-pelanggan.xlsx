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cf914af66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a8c715a9ec8e47dd"/>
    <x:sheet xmlns:r="http://schemas.openxmlformats.org/officeDocument/2006/relationships" name="Daftar Piutang" sheetId="2" r:id="Ra15de68390134c8c"/>
    <x:sheet xmlns:r="http://schemas.openxmlformats.org/officeDocument/2006/relationships" name="Ringkasan" sheetId="3" r:id="R6a235fc0bc8d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8dc1f51a0485c" /><Relationship Type="http://schemas.openxmlformats.org/officeDocument/2006/relationships/theme" Target="/xl/theme/theme1.xml" Id="R31fb7bb482f34af3" /><Relationship Type="http://schemas.openxmlformats.org/officeDocument/2006/relationships/sharedStrings" Target="/xl/sharedStrings.xml" Id="R936fd99eb0564906" /><Relationship Type="http://schemas.openxmlformats.org/officeDocument/2006/relationships/worksheet" Target="/xl/worksheets/sheet1.xml" Id="Ra8c715a9ec8e47dd" /><Relationship Type="http://schemas.openxmlformats.org/officeDocument/2006/relationships/worksheet" Target="/xl/worksheets/sheet2.xml" Id="Ra15de68390134c8c" /><Relationship Type="http://schemas.openxmlformats.org/officeDocument/2006/relationships/worksheet" Target="/xl/worksheets/sheet3.xml" Id="R6a235fc0bc8d4f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84942ff1a940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4942ff1a940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08" displayName="DraftTemplate08" ref="A3:H6" headerRowCount="1" totalsRowCount="0" totalsRowShown="0">
  <x:tableColumns count="8">
    <x:tableColumn id="1" name="Tanggal"/>
    <x:tableColumn id="2" name="No. Invoice"/>
    <x:tableColumn id="3" name="Pelanggan"/>
    <x:tableColumn id="4" name="Jatuh Tempo"/>
    <x:tableColumn id="5" name="Nilai Invoice"/>
    <x:tableColumn id="6" name="Pembayaran"/>
    <x:tableColumn id="7" name="Sisa Piutang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8b0c61ef742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f96c2d47c5a4b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Daftar Piutang Pelanggan Excel Gratis</x:v>
      </x:c>
      <x:c r="B1" s="3" t="str">
        <x:v>Template Daftar Piutang Pelanggan Excel Gratis</x:v>
      </x:c>
      <x:c r="C1" s="3" t="str">
        <x:v>Template Daftar Piutang Pelanggan Excel Gratis</x:v>
      </x:c>
      <x:c r="D1" s="3" t="str">
        <x:v>Template Daftar Piutang Pelanggan Excel Gratis</x:v>
      </x:c>
      <x:c r="E1" s="3" t="str">
        <x:v>Template Daftar Piutang Pelanggan Excel Gratis</x:v>
      </x:c>
      <x:c r="F1" s="3" t="str">
        <x:v>Template Daftar Piutang Pelanggan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Masukkan nilai invoice dan tanggal jatuh tempo setiap pelanggan.</x:v>
      </x:c>
      <x:c r="C5" s="8"/>
      <x:c r="D5" s="8"/>
      <x:c r="E5" s="8"/>
      <x:c r="F5" s="8"/>
    </x:row>
    <x:row r="6">
      <x:c r="A6" s="8" t="n">
        <x:v>2</x:v>
      </x:c>
      <x:c r="B6" s="8" t="str">
        <x:v>Perbarui kolom Pembayaran ketika uang diterima.</x:v>
      </x:c>
      <x:c r="C6" s="8"/>
      <x:c r="D6" s="8"/>
      <x:c r="E6" s="8"/>
      <x:c r="F6" s="8"/>
    </x:row>
    <x:row r="7">
      <x:c r="A7" s="8" t="n">
        <x:v>3</x:v>
      </x:c>
      <x:c r="B7" s="8" t="str">
        <x:v>Kolom Sisa Piutang menghitung selisih secara otomatis.</x:v>
      </x:c>
      <x:c r="C7" s="8"/>
      <x:c r="D7" s="8"/>
      <x:c r="E7" s="8"/>
      <x:c r="F7" s="8"/>
    </x:row>
    <x:row r="8">
      <x:c r="A8" s="8" t="n">
        <x:v>4</x:v>
      </x:c>
      <x:c r="B8" s="8" t="str">
        <x:v>Filter status Belum Lunas untuk daftar tindak lanjut.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Status dan tanggal tindak lanjut perlu diperbarui manual; template tidak mengirim pengingat otomatis.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TEMPLATE DAFTAR PIUTANG PELANGGAN EXCEL GRATIS</x:v>
      </x:c>
      <x:c r="B1" s="3" t="str">
        <x:v>TEMPLATE DAFTAR PIUTANG PELANGGAN EXCEL GRATIS</x:v>
      </x:c>
      <x:c r="C1" s="3" t="str">
        <x:v>TEMPLATE DAFTAR PIUTANG PELANGGAN EXCEL GRATIS</x:v>
      </x:c>
      <x:c r="D1" s="3" t="str">
        <x:v>TEMPLATE DAFTAR PIUTANG PELANGGAN EXCEL GRATIS</x:v>
      </x:c>
      <x:c r="E1" s="3" t="str">
        <x:v>TEMPLATE DAFTAR PIUTANG PELANGGAN EXCEL GRATIS</x:v>
      </x:c>
      <x:c r="F1" s="3" t="str">
        <x:v>TEMPLATE DAFTAR PIUTANG PELANGGAN EXCEL GRATIS</x:v>
      </x:c>
      <x:c r="G1" s="3" t="str">
        <x:v>TEMPLATE DAFTAR PIUTANG PELANGGAN EXCEL GRATIS</x:v>
      </x:c>
      <x:c r="H1" s="3" t="str">
        <x:v>TEMPLATE DAFTAR PIUTANG PELANGGAN EXCEL GRATIS</x:v>
      </x:c>
    </x:row>
    <x:row r="3">
      <x:c r="A3" s="31" t="str">
        <x:v>Tanggal</x:v>
      </x:c>
      <x:c r="B3" s="31" t="str">
        <x:v>No. Invoice</x:v>
      </x:c>
      <x:c r="C3" s="31" t="str">
        <x:v>Pelanggan</x:v>
      </x:c>
      <x:c r="D3" s="31" t="str">
        <x:v>Jatuh Tempo</x:v>
      </x:c>
      <x:c r="E3" s="31" t="str">
        <x:v>Nilai Invoice</x:v>
      </x:c>
      <x:c r="F3" s="31" t="str">
        <x:v>Pembayaran</x:v>
      </x:c>
      <x:c r="G3" s="31" t="str">
        <x:v>Sisa Piutang</x:v>
      </x:c>
      <x:c r="H3" s="31" t="str">
        <x:v>Status</x:v>
      </x:c>
    </x:row>
    <x:row r="4" ht="22" customHeight="1">
      <x:c r="A4" s="36" t="n">
        <x:v>46204</x:v>
      </x:c>
      <x:c r="B4" s="37" t="str">
        <x:v>INV-101</x:v>
      </x:c>
      <x:c r="C4" s="37" t="str">
        <x:v>Toko Sinar Pagi</x:v>
      </x:c>
      <x:c r="D4" s="36" t="n">
        <x:v>46211</x:v>
      </x:c>
      <x:c r="E4" s="38" t="n">
        <x:v>450000</x:v>
      </x:c>
      <x:c r="F4" s="38" t="n">
        <x:v>300000</x:v>
      </x:c>
      <x:c r="G4" s="38" t="n">
        <x:f>E4-F4</x:f>
        <x:v>150000</x:v>
      </x:c>
      <x:c r="H4" s="37" t="str">
        <x:v>Belum Lunas</x:v>
      </x:c>
    </x:row>
    <x:row r="5" ht="22" customHeight="1">
      <x:c r="A5" s="36" t="n">
        <x:v>46206</x:v>
      </x:c>
      <x:c r="B5" s="37" t="str">
        <x:v>INV-102</x:v>
      </x:c>
      <x:c r="C5" s="37" t="str">
        <x:v>CV Maju Bersama</x:v>
      </x:c>
      <x:c r="D5" s="36" t="n">
        <x:v>46213</x:v>
      </x:c>
      <x:c r="E5" s="38" t="n">
        <x:v>800000</x:v>
      </x:c>
      <x:c r="F5" s="38" t="n">
        <x:v>0</x:v>
      </x:c>
      <x:c r="G5" s="38" t="n">
        <x:f>E5-F5</x:f>
        <x:v>800000</x:v>
      </x:c>
      <x:c r="H5" s="37" t="str">
        <x:v>Belum Lunas</x:v>
      </x:c>
    </x:row>
    <x:row r="6" ht="22" customHeight="1">
      <x:c r="A6" s="36" t="n">
        <x:v>46208</x:v>
      </x:c>
      <x:c r="B6" s="37" t="str">
        <x:v>INV-103</x:v>
      </x:c>
      <x:c r="C6" s="37" t="str">
        <x:v>Kantin Sehat</x:v>
      </x:c>
      <x:c r="D6" s="36" t="n">
        <x:v>46215</x:v>
      </x:c>
      <x:c r="E6" s="38" t="n">
        <x:v>320000</x:v>
      </x:c>
      <x:c r="F6" s="38" t="n">
        <x:v>320000</x:v>
      </x:c>
      <x:c r="G6" s="38" t="n">
        <x:f>E6-F6</x:f>
        <x:v>0</x:v>
      </x:c>
      <x:c r="H6" s="37" t="str">
        <x:v>Lunas</x:v>
      </x:c>
    </x:row>
  </x:sheetData>
  <x:mergeCells>
    <x:mergeCell ref="A1:H1"/>
  </x:mergeCells>
  <x:dataValidations count="1">
    <x:dataValidation type="list" sqref="H4:H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8b0c61ef742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PIUTANG</x:v>
      </x:c>
      <x:c r="B1" s="3" t="str">
        <x:v>RINGKASAN PIUTANG</x:v>
      </x:c>
      <x:c r="C1" s="3" t="str">
        <x:v>RINGKASAN PIUTANG</x:v>
      </x:c>
      <x:c r="D1" s="3" t="str">
        <x:v>RINGKASAN PIUTANG</x:v>
      </x:c>
      <x:c r="E1" s="3" t="str">
        <x:v>RINGKASAN PIUTANG</x:v>
      </x:c>
      <x:c r="F1" s="3" t="str">
        <x:v>RINGKASAN PIUTANG</x:v>
      </x:c>
      <x:c r="G1" s="3" t="str">
        <x:v>RINGKASAN PIUTANG</x:v>
      </x:c>
      <x:c r="H1" s="3" t="str">
        <x:v>RINGKASAN PIUTANG</x:v>
      </x:c>
    </x:row>
    <x:row r="3">
      <x:c r="A3" s="31" t="str">
        <x:v>Indikator</x:v>
      </x:c>
      <x:c r="B3" s="31" t="str">
        <x:v>Nilai</x:v>
      </x:c>
    </x:row>
    <x:row r="4">
      <x:c r="A4" s="42" t="str">
        <x:v>Jumlah baris tercatat</x:v>
      </x:c>
      <x:c r="B4" s="42" t="n">
        <x:f>COUNTA('Daftar Piutang'!A4:A120)</x:f>
        <x:v>3</x:v>
      </x:c>
    </x:row>
    <x:row r="5">
      <x:c r="A5" s="42" t="str">
        <x:v>Total sisa piutang</x:v>
      </x:c>
      <x:c r="B5" s="43" t="n">
        <x:f>SUM('Daftar Piutang'!G4:G120)</x:f>
        <x:v>950000</x:v>
      </x:c>
    </x:row>
    <x:row r="6">
      <x:c r="A6" s="42" t="str">
        <x:v>Status selesai/aktif</x:v>
      </x:c>
      <x:c r="B6" s="42" t="n">
        <x:f>COUNTIF('Daftar Piutang'!H4:H120,"Selesai")+COUNTIF('Daftar Piutang'!H4:H120,"Aktif")+COUNTIF('Daftar Piutang'!H4:H120,"Sudah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COUNTIF('Daftar Piutang'!H4:H120,A10)</x:f>
        <x:v>0</x:v>
      </x:c>
    </x:row>
    <x:row r="11">
      <x:c r="A11" s="6" t="str">
        <x:v>Berjalan</x:v>
      </x:c>
      <x:c r="B11" s="6" t="n">
        <x:f>COUNTIF('Daftar Piutang'!H5:H121,A11)</x:f>
        <x:v>0</x:v>
      </x:c>
    </x:row>
    <x:row r="12">
      <x:c r="A12" s="6" t="str">
        <x:v>Selesai</x:v>
      </x:c>
      <x:c r="B12" s="6" t="n">
        <x:f>COUNTIF('Daftar Piutang'!H6:H122,A12)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f96c2d47c5a4b95"/>
</x:worksheet>
</file>