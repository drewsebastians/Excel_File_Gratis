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dc1c60e66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32a54fbd893d4298"/>
    <x:sheet xmlns:r="http://schemas.openxmlformats.org/officeDocument/2006/relationships" name="Daftar Cicilan" sheetId="2" r:id="Ra4a0780cc4454083"/>
    <x:sheet xmlns:r="http://schemas.openxmlformats.org/officeDocument/2006/relationships" name="Catatan Pembayaran" sheetId="3" r:id="R8aa7547e58cc4c0b"/>
    <x:sheet xmlns:r="http://schemas.openxmlformats.org/officeDocument/2006/relationships" name="Ringkasan" sheetId="4" r:id="R8e447d1fca5f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Rp-421] #,##0"/>
    <x:numFmt numFmtId="201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91272caf847e3" /><Relationship Type="http://schemas.openxmlformats.org/officeDocument/2006/relationships/theme" Target="/xl/theme/theme1.xml" Id="Rd63ecfeeee10411c" /><Relationship Type="http://schemas.openxmlformats.org/officeDocument/2006/relationships/sharedStrings" Target="/xl/sharedStrings.xml" Id="R9bdd95b7b42744bd" /><Relationship Type="http://schemas.openxmlformats.org/officeDocument/2006/relationships/worksheet" Target="/xl/worksheets/sheet1.xml" Id="R32a54fbd893d4298" /><Relationship Type="http://schemas.openxmlformats.org/officeDocument/2006/relationships/worksheet" Target="/xl/worksheets/sheet2.xml" Id="Ra4a0780cc4454083" /><Relationship Type="http://schemas.openxmlformats.org/officeDocument/2006/relationships/worksheet" Target="/xl/worksheets/sheet3.xml" Id="R8aa7547e58cc4c0b" /><Relationship Type="http://schemas.openxmlformats.org/officeDocument/2006/relationships/worksheet" Target="/xl/worksheets/sheet4.xml" Id="R8e447d1fca5f44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ab6d96c92244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Sisa per Cicilan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Sisa</c:v>
          </c:tx>
          <c:cat>
            <c:strRef>
              <c:f>'Ringkasan'!$A$11:$A$13</c:f>
              <c:strCache>
                <c:ptCount val="0"/>
              </c:strCache>
            </c:strRef>
          </c:cat>
          <c:val>
            <c:numRef>
              <c:f>'Ringkasan'!$B$11:$B$13</c:f>
              <c:numCache>
                <c:formatCode>[$Rp-421]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ab6d96c92244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allmentsTable" displayName="InstallmentsTable" ref="A3:J7" headerRowCount="1" totalsRowCount="0" totalsRowShown="0">
  <x:tableColumns count="10">
    <x:tableColumn id="1" name="ID"/>
    <x:tableColumn id="2" name="Pemberi Tagihan"/>
    <x:tableColumn id="3" name="Keterangan"/>
    <x:tableColumn id="4" name="Nominal Awal"/>
    <x:tableColumn id="5" name="Jatuh Tempo"/>
    <x:tableColumn id="6" name="Pembayaran Tercatat"/>
    <x:tableColumn id="7" name="Sisa"/>
    <x:tableColumn id="8" name="Status"/>
    <x:tableColumn id="9" name="Catatan"/>
    <x:tableColumn id="10" name="Bul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sTable" displayName="PaymentsTable" ref="A3:E7" headerRowCount="1" totalsRowCount="0" totalsRowShown="0">
  <x:tableColumns count="5">
    <x:tableColumn id="1" name="Tanggal"/>
    <x:tableColumn id="2" name="ID Cicilan"/>
    <x:tableColumn id="3" name="Metode"/>
    <x:tableColumn id="4" name="Nominal Pembayaran"/>
    <x:tableColumn id="5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88c6492de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d9a9daf20640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45bfe7b73224f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Tracker Cicilan dan Hutang</x:v>
      </x:c>
      <x:c r="B1" s="4" t="str">
        <x:v>Tracker Cicilan dan Hutang</x:v>
      </x:c>
      <x:c r="C1" s="4" t="str">
        <x:v>Tracker Cicilan dan Hutang</x:v>
      </x:c>
      <x:c r="D1" s="4" t="str">
        <x:v>Tracker Cicilan dan Hutang</x:v>
      </x:c>
      <x:c r="E1" s="4" t="str">
        <x:v>Tracker Cicilan dan Hutang</x:v>
      </x:c>
      <x:c r="F1" s="4" t="str">
        <x:v>Tracker Cicilan dan Hutang</x:v>
      </x:c>
    </x:row>
    <x:row r="3">
      <x:c r="A3" s="6" t="str">
        <x:v>Mulai dari sini</x:v>
      </x:c>
      <x:c r="B3" s="6" t="str">
        <x:v>Mulai dari sini</x:v>
      </x:c>
      <x:c r="C3" s="6" t="str">
        <x:v>Mulai dari sini</x:v>
      </x:c>
      <x:c r="D3" s="6" t="str">
        <x:v>Mulai dari sini</x:v>
      </x:c>
      <x:c r="E3" s="6" t="str">
        <x:v>Mulai dari sini</x:v>
      </x:c>
      <x:c r="F3" s="6" t="str">
        <x:v>Mulai dari sini</x:v>
      </x:c>
    </x:row>
    <x:row r="5">
      <x:c r="A5" s="9" t="n">
        <x:v>1</x:v>
      </x:c>
      <x:c r="B5" s="9" t="str">
        <x:v>Masukkan setiap cicilan atau hutang pada sheet Daftar Cicilan.</x:v>
      </x:c>
      <x:c r="C5" s="9"/>
      <x:c r="D5" s="9"/>
      <x:c r="E5" s="9"/>
      <x:c r="F5" s="9"/>
    </x:row>
    <x:row r="6">
      <x:c r="A6" s="9" t="n">
        <x:v>2</x:v>
      </x:c>
      <x:c r="B6" s="9" t="str">
        <x:v>Catat pembayaran sebagai baris baru pada Catatan Pembayaran.</x:v>
      </x:c>
      <x:c r="C6" s="9"/>
      <x:c r="D6" s="9"/>
      <x:c r="E6" s="9"/>
      <x:c r="F6" s="9"/>
    </x:row>
    <x:row r="7">
      <x:c r="A7" s="9" t="n">
        <x:v>3</x:v>
      </x:c>
      <x:c r="B7" s="9" t="str">
        <x:v>Lihat Ringkasan untuk memantau total sisa dan status jatuh tempo.</x:v>
      </x:c>
      <x:c r="C7" s="9"/>
      <x:c r="D7" s="9"/>
      <x:c r="E7" s="9"/>
      <x:c r="F7" s="9"/>
    </x:row>
    <x:row r="8">
      <x:c r="A8" s="9" t="n">
        <x:v>4</x:v>
      </x:c>
      <x:c r="B8" s="9" t="str">
        <x:v>Periksa kembali nominal dan tanggal terhadap tagihan atau bukti pembayaran asli.</x:v>
      </x:c>
      <x:c r="C8" s="9"/>
      <x:c r="D8" s="9"/>
      <x:c r="E8" s="9"/>
      <x:c r="F8" s="9"/>
    </x:row>
    <x:row r="11">
      <x:c r="A11" s="6" t="str">
        <x:v>Batasan penggunaan</x:v>
      </x:c>
      <x:c r="B11" s="6" t="str">
        <x:v>Batasan penggunaan</x:v>
      </x:c>
      <x:c r="C11" s="6" t="str">
        <x:v>Batasan penggunaan</x:v>
      </x:c>
      <x:c r="D11" s="6" t="str">
        <x:v>Batasan penggunaan</x:v>
      </x:c>
      <x:c r="E11" s="6" t="str">
        <x:v>Batasan penggunaan</x:v>
      </x:c>
      <x:c r="F11" s="6" t="str">
        <x:v>Batasan penggunaan</x:v>
      </x:c>
    </x:row>
    <x:row r="13">
      <x:c r="A13" s="14" t="str">
        <x:v>Template ini hanya untuk pencatatan pribadi. Template ini tidak memberi saran pelunasan, bunga, penagihan, atau keputusan keuangan dan tidak menggantikan informasi dari pemberi pinjaman.</x:v>
      </x:c>
      <x:c r="B13" s="15"/>
      <x:c r="C13" s="15"/>
      <x:c r="D13" s="15"/>
      <x:c r="E13" s="15"/>
      <x:c r="F13" s="16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DAFTAR CICILAN DAN HUTANG</x:v>
      </x:c>
      <x:c r="B1" s="4" t="str">
        <x:v>DAFTAR CICILAN DAN HUTANG</x:v>
      </x:c>
      <x:c r="C1" s="4" t="str">
        <x:v>DAFTAR CICILAN DAN HUTANG</x:v>
      </x:c>
      <x:c r="D1" s="4" t="str">
        <x:v>DAFTAR CICILAN DAN HUTANG</x:v>
      </x:c>
      <x:c r="E1" s="4" t="str">
        <x:v>DAFTAR CICILAN DAN HUTANG</x:v>
      </x:c>
      <x:c r="F1" s="4" t="str">
        <x:v>DAFTAR CICILAN DAN HUTANG</x:v>
      </x:c>
      <x:c r="G1" s="4" t="str">
        <x:v>DAFTAR CICILAN DAN HUTANG</x:v>
      </x:c>
      <x:c r="H1" s="4" t="str">
        <x:v>DAFTAR CICILAN DAN HUTANG</x:v>
      </x:c>
      <x:c r="I1" s="4" t="str">
        <x:v>DAFTAR CICILAN DAN HUTANG</x:v>
      </x:c>
      <x:c r="J1" s="4" t="str">
        <x:v>DAFTAR CICILAN DAN HUTANG</x:v>
      </x:c>
    </x:row>
    <x:row r="3">
      <x:c r="A3" s="20" t="str">
        <x:v>ID</x:v>
      </x:c>
      <x:c r="B3" s="20" t="str">
        <x:v>Pemberi Tagihan</x:v>
      </x:c>
      <x:c r="C3" s="20" t="str">
        <x:v>Keterangan</x:v>
      </x:c>
      <x:c r="D3" s="20" t="str">
        <x:v>Nominal Awal</x:v>
      </x:c>
      <x:c r="E3" s="20" t="str">
        <x:v>Jatuh Tempo</x:v>
      </x:c>
      <x:c r="F3" s="20" t="str">
        <x:v>Pembayaran Tercatat</x:v>
      </x:c>
      <x:c r="G3" s="20" t="str">
        <x:v>Sisa</x:v>
      </x:c>
      <x:c r="H3" s="20" t="str">
        <x:v>Status</x:v>
      </x:c>
      <x:c r="I3" s="20" t="str">
        <x:v>Catatan</x:v>
      </x:c>
      <x:c r="J3" s="20" t="str">
        <x:v>Bulan</x:v>
      </x:c>
    </x:row>
    <x:row r="4">
      <x:c r="A4" s="25" t="str">
        <x:v>CIC-001</x:v>
      </x:c>
      <x:c r="B4" s="25" t="str">
        <x:v>Koperasi</x:v>
      </x:c>
      <x:c r="C4" s="25" t="str">
        <x:v>Cicilan alat usaha</x:v>
      </x:c>
      <x:c r="D4" s="26" t="n">
        <x:v>1200000</x:v>
      </x:c>
      <x:c r="E4" s="27" t="n">
        <x:v>46223</x:v>
      </x:c>
      <x:c r="F4" s="23" t="n">
        <x:f>SUMIFS('Catatan Pembayaran'!$D$4:$D$80,'Catatan Pembayaran'!$B$4:$B$80,A4)</x:f>
        <x:v>500000</x:v>
      </x:c>
      <x:c r="G4" s="23" t="n">
        <x:f>D4-F4</x:f>
        <x:v>700000</x:v>
      </x:c>
      <x:c r="H4" s="7" t="str">
        <x:f>IF(G4&lt;=0,"Lunas",IF(E4&lt;TODAY(),"Lewat jatuh tempo","Berjalan"))</x:f>
        <x:v>Berjalan</x:v>
      </x:c>
      <x:c r="I4" s="25" t="str">
        <x:v>Contoh data</x:v>
      </x:c>
      <x:c r="J4" s="7" t="str">
        <x:f>TEXT(E4,"yyyy-mm")</x:f>
        <x:v>2026-07</x:v>
      </x:c>
    </x:row>
    <x:row r="5">
      <x:c r="A5" s="25" t="str">
        <x:v>CIC-002</x:v>
      </x:c>
      <x:c r="B5" s="25" t="str">
        <x:v>Toko Elektronik</x:v>
      </x:c>
      <x:c r="C5" s="25" t="str">
        <x:v>Cicilan perangkat</x:v>
      </x:c>
      <x:c r="D5" s="26" t="n">
        <x:v>800000</x:v>
      </x:c>
      <x:c r="E5" s="27" t="n">
        <x:v>46218</x:v>
      </x:c>
      <x:c r="F5" s="23" t="n">
        <x:f>SUMIFS('Catatan Pembayaran'!$D$4:$D$80,'Catatan Pembayaran'!$B$4:$B$80,A5)</x:f>
        <x:v>200000</x:v>
      </x:c>
      <x:c r="G5" s="23" t="n">
        <x:f>D5-F5</x:f>
        <x:v>600000</x:v>
      </x:c>
      <x:c r="H5" s="7" t="str">
        <x:f>IF(G5&lt;=0,"Lunas",IF(E5&lt;TODAY(),"Lewat jatuh tempo","Berjalan"))</x:f>
        <x:v>Berjalan</x:v>
      </x:c>
      <x:c r="I5" s="25" t="str">
        <x:v>Contoh data</x:v>
      </x:c>
      <x:c r="J5" s="7" t="str">
        <x:f>TEXT(E5,"yyyy-mm")</x:f>
        <x:v>2026-07</x:v>
      </x:c>
    </x:row>
    <x:row r="6">
      <x:c r="A6" s="25" t="str">
        <x:v>CIC-003</x:v>
      </x:c>
      <x:c r="B6" s="25" t="str">
        <x:v>Keluarga</x:v>
      </x:c>
      <x:c r="C6" s="25" t="str">
        <x:v>Pinjaman pribadi</x:v>
      </x:c>
      <x:c r="D6" s="26" t="n">
        <x:v>500000</x:v>
      </x:c>
      <x:c r="E6" s="27" t="n">
        <x:v>46239</x:v>
      </x:c>
      <x:c r="F6" s="23" t="n">
        <x:f>SUMIFS('Catatan Pembayaran'!$D$4:$D$80,'Catatan Pembayaran'!$B$4:$B$80,A6)</x:f>
        <x:v>100000</x:v>
      </x:c>
      <x:c r="G6" s="23" t="n">
        <x:f>D6-F6</x:f>
        <x:v>400000</x:v>
      </x:c>
      <x:c r="H6" s="7" t="str">
        <x:f>IF(G6&lt;=0,"Lunas",IF(E6&lt;TODAY(),"Lewat jatuh tempo","Berjalan"))</x:f>
        <x:v>Berjalan</x:v>
      </x:c>
      <x:c r="I6" s="25" t="str">
        <x:v>Contoh data</x:v>
      </x:c>
      <x:c r="J6" s="7" t="str">
        <x:f>TEXT(E6,"yyyy-mm")</x:f>
        <x:v>2026-08</x:v>
      </x:c>
    </x:row>
    <x:row r="7">
      <x:c r="A7" s="25" t="str">
        <x:v>CIC-004</x:v>
      </x:c>
      <x:c r="B7" s="25" t="str"/>
      <x:c r="C7" s="25" t="str"/>
      <x:c r="D7" s="26" t="n">
        <x:v>0</x:v>
      </x:c>
      <x:c r="E7" s="27" t="n">
        <x:v>46265</x:v>
      </x:c>
      <x:c r="F7" s="23" t="n">
        <x:f>SUMIFS('Catatan Pembayaran'!$D$4:$D$80,'Catatan Pembayaran'!$B$4:$B$80,A7)</x:f>
        <x:v>0</x:v>
      </x:c>
      <x:c r="G7" s="23" t="n">
        <x:f>D7-F7</x:f>
        <x:v>0</x:v>
      </x:c>
      <x:c r="H7" s="7" t="str">
        <x:f>IF(G7&lt;=0,"Lunas",IF(E7&lt;TODAY(),"Lewat jatuh tempo","Berjalan"))</x:f>
        <x:v>Lunas</x:v>
      </x:c>
      <x:c r="I7" s="25" t="str"/>
      <x:c r="J7" s="7" t="str">
        <x:f>TEXT(E7,"yyyy-mm")</x:f>
        <x:v>2026-08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a188c6492de41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8" customHeight="1">
      <x:c r="A1" s="4" t="str">
        <x:v>CATATAN PEMBAYARAN</x:v>
      </x:c>
      <x:c r="B1" s="4" t="str">
        <x:v>CATATAN PEMBAYARAN</x:v>
      </x:c>
      <x:c r="C1" s="4" t="str">
        <x:v>CATATAN PEMBAYARAN</x:v>
      </x:c>
      <x:c r="D1" s="4" t="str">
        <x:v>CATATAN PEMBAYARAN</x:v>
      </x:c>
      <x:c r="E1" s="4" t="str">
        <x:v>CATATAN PEMBAYARAN</x:v>
      </x:c>
    </x:row>
    <x:row r="3">
      <x:c r="A3" s="20" t="str">
        <x:v>Tanggal</x:v>
      </x:c>
      <x:c r="B3" s="20" t="str">
        <x:v>ID Cicilan</x:v>
      </x:c>
      <x:c r="C3" s="20" t="str">
        <x:v>Metode</x:v>
      </x:c>
      <x:c r="D3" s="20" t="str">
        <x:v>Nominal Pembayaran</x:v>
      </x:c>
      <x:c r="E3" s="20" t="str">
        <x:v>Catatan</x:v>
      </x:c>
    </x:row>
    <x:row r="4">
      <x:c r="A4" s="27" t="n">
        <x:v>46213</x:v>
      </x:c>
      <x:c r="B4" s="25" t="str">
        <x:v>CIC-001</x:v>
      </x:c>
      <x:c r="C4" s="25" t="str">
        <x:v>Transfer</x:v>
      </x:c>
      <x:c r="D4" s="26" t="n">
        <x:v>300000</x:v>
      </x:c>
      <x:c r="E4" s="25" t="str">
        <x:v>Pembayaran contoh</x:v>
      </x:c>
    </x:row>
    <x:row r="5">
      <x:c r="A5" s="27" t="n">
        <x:v>46215</x:v>
      </x:c>
      <x:c r="B5" s="25" t="str">
        <x:v>CIC-002</x:v>
      </x:c>
      <x:c r="C5" s="25" t="str">
        <x:v>QRIS</x:v>
      </x:c>
      <x:c r="D5" s="26" t="n">
        <x:v>200000</x:v>
      </x:c>
      <x:c r="E5" s="25" t="str">
        <x:v>Pembayaran contoh</x:v>
      </x:c>
    </x:row>
    <x:row r="6">
      <x:c r="A6" s="27" t="n">
        <x:v>46215</x:v>
      </x:c>
      <x:c r="B6" s="25" t="str">
        <x:v>CIC-003</x:v>
      </x:c>
      <x:c r="C6" s="25" t="str">
        <x:v>Tunai</x:v>
      </x:c>
      <x:c r="D6" s="26" t="n">
        <x:v>100000</x:v>
      </x:c>
      <x:c r="E6" s="25" t="str">
        <x:v>Pembayaran contoh</x:v>
      </x:c>
    </x:row>
    <x:row r="7">
      <x:c r="A7" s="27" t="n">
        <x:v>46216</x:v>
      </x:c>
      <x:c r="B7" s="25" t="str">
        <x:v>CIC-001</x:v>
      </x:c>
      <x:c r="C7" s="25" t="str">
        <x:v>Transfer</x:v>
      </x:c>
      <x:c r="D7" s="26" t="n">
        <x:v>200000</x:v>
      </x:c>
      <x:c r="E7" s="25" t="str">
        <x:v>Pembayaran kedua</x:v>
      </x:c>
    </x:row>
  </x:sheetData>
  <x:mergeCells>
    <x:mergeCell ref="A1:E1"/>
  </x:mergeCells>
  <x:dataValidations count="2">
    <x:dataValidation type="list" sqref="B4:B80">
      <x:formula1>"CIC-001,CIC-002,CIC-003,CIC-004"</x:formula1>
    </x:dataValidation>
    <x:dataValidation type="list" sqref="C4:C80">
      <x:formula1>"Tunai,Transfer,QRIS"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d9a9daf20640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4" t="str">
        <x:v>RINGKASAN CICILAN DAN HUTANG</x:v>
      </x:c>
      <x:c r="B1" s="4" t="str">
        <x:v>RINGKASAN CICILAN DAN HUTANG</x:v>
      </x:c>
      <x:c r="C1" s="4" t="str">
        <x:v>RINGKASAN CICILAN DAN HUTANG</x:v>
      </x:c>
      <x:c r="D1" s="4" t="str">
        <x:v>RINGKASAN CICILAN DAN HUTANG</x:v>
      </x:c>
      <x:c r="E1" s="4" t="str">
        <x:v>RINGKASAN CICILAN DAN HUTANG</x:v>
      </x:c>
      <x:c r="F1" s="4" t="str">
        <x:v>RINGKASAN CICILAN DAN HUTANG</x:v>
      </x:c>
      <x:c r="G1" s="4" t="str">
        <x:v>RINGKASAN CICILAN DAN HUTANG</x:v>
      </x:c>
      <x:c r="H1" s="4" t="str">
        <x:v>RINGKASAN CICILAN DAN HUTANG</x:v>
      </x:c>
    </x:row>
    <x:row r="3">
      <x:c r="A3" s="29" t="str">
        <x:v>Total Nominal Awal</x:v>
      </x:c>
      <x:c r="B3" s="30" t="n">
        <x:f>SUM('Daftar Cicilan'!D4:D80)</x:f>
        <x:v>2500000</x:v>
      </x:c>
    </x:row>
    <x:row r="4">
      <x:c r="A4" s="29" t="str">
        <x:v>Total Pembayaran</x:v>
      </x:c>
      <x:c r="B4" s="30" t="n">
        <x:f>SUM('Daftar Cicilan'!F4:F80)</x:f>
        <x:v>800000</x:v>
      </x:c>
    </x:row>
    <x:row r="5">
      <x:c r="A5" s="29" t="str">
        <x:v>Total Sisa</x:v>
      </x:c>
      <x:c r="B5" s="30" t="n">
        <x:f>SUM('Daftar Cicilan'!G4:G80)</x:f>
        <x:v>1700000</x:v>
      </x:c>
    </x:row>
    <x:row r="6">
      <x:c r="A6" s="29" t="str">
        <x:v>Item Berjalan</x:v>
      </x:c>
      <x:c r="B6" s="29" t="n">
        <x:f>COUNTIF('Daftar Cicilan'!H4:H80,"Berjalan")</x:f>
        <x:v>3</x:v>
      </x:c>
    </x:row>
    <x:row r="7">
      <x:c r="A7" s="29" t="str">
        <x:v>Item Lewat Jatuh Tempo</x:v>
      </x:c>
      <x:c r="B7" s="29" t="n">
        <x:f>COUNTIF('Daftar Cicilan'!H4:H80,"Lewat jatuh tempo")</x:f>
        <x:v>0</x:v>
      </x:c>
    </x:row>
    <x:row r="10">
      <x:c r="A10" s="20" t="str">
        <x:v>ID</x:v>
      </x:c>
      <x:c r="B10" s="20" t="str">
        <x:v>Sisa</x:v>
      </x:c>
      <x:c r="C10" s="20" t="str">
        <x:v>Status</x:v>
      </x:c>
    </x:row>
    <x:row r="11">
      <x:c r="A11" s="7" t="str">
        <x:v>CIC-001</x:v>
      </x:c>
      <x:c r="B11" s="23" t="n">
        <x:f>'Daftar Cicilan'!G4</x:f>
        <x:v>700000</x:v>
      </x:c>
      <x:c r="C11" s="7" t="str">
        <x:f>'Daftar Cicilan'!H4</x:f>
        <x:v>Berjalan</x:v>
      </x:c>
    </x:row>
    <x:row r="12">
      <x:c r="A12" s="7" t="str">
        <x:v>CIC-002</x:v>
      </x:c>
      <x:c r="B12" s="23" t="n">
        <x:f>'Daftar Cicilan'!G5</x:f>
        <x:v>600000</x:v>
      </x:c>
      <x:c r="C12" s="7" t="str">
        <x:f>'Daftar Cicilan'!H5</x:f>
        <x:v>Berjalan</x:v>
      </x:c>
    </x:row>
    <x:row r="13">
      <x:c r="A13" s="7" t="str">
        <x:v>CIC-003</x:v>
      </x:c>
      <x:c r="B13" s="23" t="n">
        <x:f>'Daftar Cicilan'!G6</x:f>
        <x:v>400000</x:v>
      </x:c>
      <x:c r="C13" s="7" t="str">
        <x:f>'Daftar Cicilan'!H6</x:f>
        <x:v>Berjalan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45bfe7b73224fd8"/>
</x:worksheet>
</file>