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187adca8f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0bdf383489574090"/>
    <x:sheet xmlns:r="http://schemas.openxmlformats.org/officeDocument/2006/relationships" name="Daftar Target" sheetId="2" r:id="R56f9a06695d34dcb"/>
    <x:sheet xmlns:r="http://schemas.openxmlformats.org/officeDocument/2006/relationships" name="Catatan Setoran" sheetId="3" r:id="R9ca80ac5e8394dae"/>
    <x:sheet xmlns:r="http://schemas.openxmlformats.org/officeDocument/2006/relationships" name="Ringkasan" sheetId="4" r:id="R24a98b2c4661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[$Rp-421] #,##0"/>
    <x:numFmt numFmtId="201" formatCode="0%"/>
    <x:numFmt numFmtId="202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2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2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vertical="top"/>
    </x:xf>
    <x:xf numFmtId="200" fontId="0" fillId="5" borderId="1" xfId="0" applyNumberFormat="1" applyFont="1" applyFill="1" applyBorder="1" applyAlignment="1">
      <x:alignment vertical="top"/>
    </x:xf>
    <x:xf numFmtId="202" fontId="0" fillId="5" borderId="1" xfId="0" applyNumberFormat="1" applyFont="1" applyFill="1" applyBorder="1" applyAlignment="1">
      <x:alignment vertical="top"/>
    </x:xf>
    <x:xf numFmtId="201" fontId="0" fillId="5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d3e0e892e43f6" /><Relationship Type="http://schemas.openxmlformats.org/officeDocument/2006/relationships/theme" Target="/xl/theme/theme1.xml" Id="Rb0b6ca8995c84080" /><Relationship Type="http://schemas.openxmlformats.org/officeDocument/2006/relationships/sharedStrings" Target="/xl/sharedStrings.xml" Id="R310120539bb84f5e" /><Relationship Type="http://schemas.openxmlformats.org/officeDocument/2006/relationships/worksheet" Target="/xl/worksheets/sheet1.xml" Id="R0bdf383489574090" /><Relationship Type="http://schemas.openxmlformats.org/officeDocument/2006/relationships/worksheet" Target="/xl/worksheets/sheet2.xml" Id="R56f9a06695d34dcb" /><Relationship Type="http://schemas.openxmlformats.org/officeDocument/2006/relationships/worksheet" Target="/xl/worksheets/sheet3.xml" Id="R9ca80ac5e8394dae" /><Relationship Type="http://schemas.openxmlformats.org/officeDocument/2006/relationships/worksheet" Target="/xl/worksheets/sheet4.xml" Id="R24a98b2c466147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c9848cec074a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Progres Target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Progres</c:v>
          </c:tx>
          <c:cat>
            <c:strRef>
              <c:f>'Ringkasan'!$A$11:$A$13</c:f>
              <c:strCache>
                <c:ptCount val="0"/>
              </c:strCache>
            </c:strRef>
          </c:cat>
          <c:val>
            <c:numRef>
              <c:f>'Ringkasan'!$B$11:$B$13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c9848cec074a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vingsGoalsTable" displayName="SavingsGoalsTable" ref="A3:L7" headerRowCount="1" totalsRowCount="0" totalsRowShown="0">
  <x:tableColumns count="12">
    <x:tableColumn id="1" name="ID"/>
    <x:tableColumn id="2" name="Nama Target"/>
    <x:tableColumn id="3" name="Nominal Target"/>
    <x:tableColumn id="4" name="Tanggal Target"/>
    <x:tableColumn id="5" name="Saldo Awal"/>
    <x:tableColumn id="6" name="Setoran"/>
    <x:tableColumn id="7" name="Total Terkumpul"/>
    <x:tableColumn id="8" name="Sisa"/>
    <x:tableColumn id="9" name="Progres"/>
    <x:tableColumn id="10" name="Status"/>
    <x:tableColumn id="11" name="Catatan"/>
    <x:tableColumn id="12" name="Peringatan Inpu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vingsDepositsTable" displayName="SavingsDepositsTable" ref="A3:F8" headerRowCount="1" totalsRowCount="0" totalsRowShown="0">
  <x:tableColumns count="6">
    <x:tableColumn id="1" name="Tanggal"/>
    <x:tableColumn id="2" name="ID Target"/>
    <x:tableColumn id="3" name="Metode"/>
    <x:tableColumn id="4" name="Nominal"/>
    <x:tableColumn id="5" name="Sumber/Referensi"/>
    <x:tableColumn id="6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40191ae4d14e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d6ed48a46648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aad4ca459384b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3" t="str">
        <x:v>Template Target Tabungan</x:v>
      </x:c>
      <x:c r="B1" s="3" t="str">
        <x:v>Template Target Tabungan</x:v>
      </x:c>
      <x:c r="C1" s="3" t="str">
        <x:v>Template Target Tabungan</x:v>
      </x:c>
      <x:c r="D1" s="3" t="str">
        <x:v>Template Target Tabungan</x:v>
      </x:c>
      <x:c r="E1" s="3" t="str">
        <x:v>Template Target Tabungan</x:v>
      </x:c>
      <x:c r="F1" s="3" t="str">
        <x:v>Template Target Tabungan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7" t="n">
        <x:v>1</x:v>
      </x:c>
      <x:c r="B5" s="8" t="str">
        <x:v>Isi target, saldo awal, dan tanggal target pada Daftar Target.</x:v>
      </x:c>
      <x:c r="C5" s="7"/>
      <x:c r="D5" s="7"/>
      <x:c r="E5" s="7"/>
      <x:c r="F5" s="7"/>
    </x:row>
    <x:row r="6">
      <x:c r="A6" s="7" t="n">
        <x:v>2</x:v>
      </x:c>
      <x:c r="B6" s="8" t="str">
        <x:v>Catat setiap setoran positif pada Catatan Setoran.</x:v>
      </x:c>
      <x:c r="C6" s="7"/>
      <x:c r="D6" s="7"/>
      <x:c r="E6" s="7"/>
      <x:c r="F6" s="7"/>
    </x:row>
    <x:row r="7">
      <x:c r="A7" s="7" t="n">
        <x:v>3</x:v>
      </x:c>
      <x:c r="B7" s="8" t="str">
        <x:v>Gunakan ID target yang sama agar setoran masuk ke target yang benar.</x:v>
      </x:c>
      <x:c r="C7" s="7"/>
      <x:c r="D7" s="7"/>
      <x:c r="E7" s="7"/>
      <x:c r="F7" s="7"/>
    </x:row>
    <x:row r="8">
      <x:c r="A8" s="7" t="n">
        <x:v>4</x:v>
      </x:c>
      <x:c r="B8" s="8" t="str">
        <x:v>Baca sisa, progres, dan status pada Ringkasan tanpa mengubah sel rumus.</x:v>
      </x:c>
      <x:c r="C8" s="7"/>
      <x:c r="D8" s="7"/>
      <x:c r="E8" s="7"/>
      <x:c r="F8" s="7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membantu pencatatan target pribadi. Template ini tidak memberikan saran investasi, rekomendasi produk keuangan, atau jaminan hasil.</x:v>
      </x:c>
      <x:c r="B13" s="23" t="str">
        <x:v>Template ini membantu pencatatan target pribadi. Template ini tidak memberikan saran investasi, rekomendasi produk keuangan, atau jaminan hasil.</x:v>
      </x:c>
      <x:c r="C13" s="23" t="str">
        <x:v>Template ini membantu pencatatan target pribadi. Template ini tidak memberikan saran investasi, rekomendasi produk keuangan, atau jaminan hasil.</x:v>
      </x:c>
      <x:c r="D13" s="23" t="str">
        <x:v>Template ini membantu pencatatan target pribadi. Template ini tidak memberikan saran investasi, rekomendasi produk keuangan, atau jaminan hasil.</x:v>
      </x:c>
      <x:c r="E13" s="23" t="str">
        <x:v>Template ini membantu pencatatan target pribadi. Template ini tidak memberikan saran investasi, rekomendasi produk keuangan, atau jaminan hasil.</x:v>
      </x:c>
      <x:c r="F13" s="24" t="str">
        <x:v>Template ini membantu pencatatan target pribadi. Template ini tidak memberikan saran investasi, rekomendasi produk keuangan, atau jaminan hasil.</x:v>
      </x:c>
    </x:row>
    <x:row r="14">
      <x:c r="A14" s="25" t="str">
        <x:v>Template ini membantu pencatatan target pribadi. Template ini tidak memberikan saran investasi, rekomendasi produk keuangan, atau jaminan hasil.</x:v>
      </x:c>
      <x:c r="B14" s="26" t="str">
        <x:v>Template ini membantu pencatatan target pribadi. Template ini tidak memberikan saran investasi, rekomendasi produk keuangan, atau jaminan hasil.</x:v>
      </x:c>
      <x:c r="C14" s="26" t="str">
        <x:v>Template ini membantu pencatatan target pribadi. Template ini tidak memberikan saran investasi, rekomendasi produk keuangan, atau jaminan hasil.</x:v>
      </x:c>
      <x:c r="D14" s="26" t="str">
        <x:v>Template ini membantu pencatatan target pribadi. Template ini tidak memberikan saran investasi, rekomendasi produk keuangan, atau jaminan hasil.</x:v>
      </x:c>
      <x:c r="E14" s="26" t="str">
        <x:v>Template ini membantu pencatatan target pribadi. Template ini tidak memberikan saran investasi, rekomendasi produk keuangan, atau jaminan hasil.</x:v>
      </x:c>
      <x:c r="F14" s="27" t="str">
        <x:v>Template ini membantu pencatatan target pribadi. Template ini tidak memberikan saran investasi, rekomendasi produk keuangan, atau jaminan hasil.</x:v>
      </x:c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18" hidden="0" customWidth="1"/>
  </x:cols>
  <x:sheetData>
    <x:row r="1" ht="28" customHeight="1">
      <x:c r="A1" s="3" t="str">
        <x:v>DAFTAR TARGET TABUNGAN</x:v>
      </x:c>
      <x:c r="B1" s="3" t="str">
        <x:v>DAFTAR TARGET TABUNGAN</x:v>
      </x:c>
      <x:c r="C1" s="3" t="str">
        <x:v>DAFTAR TARGET TABUNGAN</x:v>
      </x:c>
      <x:c r="D1" s="3" t="str">
        <x:v>DAFTAR TARGET TABUNGAN</x:v>
      </x:c>
      <x:c r="E1" s="3" t="str">
        <x:v>DAFTAR TARGET TABUNGAN</x:v>
      </x:c>
      <x:c r="F1" s="3" t="str">
        <x:v>DAFTAR TARGET TABUNGAN</x:v>
      </x:c>
      <x:c r="G1" s="3" t="str">
        <x:v>DAFTAR TARGET TABUNGAN</x:v>
      </x:c>
      <x:c r="H1" s="3" t="str">
        <x:v>DAFTAR TARGET TABUNGAN</x:v>
      </x:c>
      <x:c r="I1" s="3" t="str">
        <x:v>DAFTAR TARGET TABUNGAN</x:v>
      </x:c>
      <x:c r="J1" s="3" t="str">
        <x:v>DAFTAR TARGET TABUNGAN</x:v>
      </x:c>
      <x:c r="K1" s="3" t="str">
        <x:v>DAFTAR TARGET TABUNGAN</x:v>
      </x:c>
      <x:c r="L1" s="3" t="str">
        <x:v>DAFTAR TARGET TABUNGAN</x:v>
      </x:c>
    </x:row>
    <x:row r="3">
      <x:c r="A3" s="31" t="str">
        <x:v>ID</x:v>
      </x:c>
      <x:c r="B3" s="31" t="str">
        <x:v>Nama Target</x:v>
      </x:c>
      <x:c r="C3" s="31" t="str">
        <x:v>Nominal Target</x:v>
      </x:c>
      <x:c r="D3" s="31" t="str">
        <x:v>Tanggal Target</x:v>
      </x:c>
      <x:c r="E3" s="31" t="str">
        <x:v>Saldo Awal</x:v>
      </x:c>
      <x:c r="F3" s="31" t="str">
        <x:v>Setoran</x:v>
      </x:c>
      <x:c r="G3" s="31" t="str">
        <x:v>Total Terkumpul</x:v>
      </x:c>
      <x:c r="H3" s="31" t="str">
        <x:v>Sisa</x:v>
      </x:c>
      <x:c r="I3" s="31" t="str">
        <x:v>Progres</x:v>
      </x:c>
      <x:c r="J3" s="31" t="str">
        <x:v>Status</x:v>
      </x:c>
      <x:c r="K3" s="31" t="str">
        <x:v>Catatan</x:v>
      </x:c>
      <x:c r="L3" s="31" t="str">
        <x:v>Peringatan Input</x:v>
      </x:c>
    </x:row>
    <x:row r="4">
      <x:c r="A4" s="43" t="str">
        <x:v>TBG-001</x:v>
      </x:c>
      <x:c r="B4" s="43" t="str">
        <x:v>Dana Perjalanan</x:v>
      </x:c>
      <x:c r="C4" s="44" t="n">
        <x:v>3000000</x:v>
      </x:c>
      <x:c r="D4" s="45" t="n">
        <x:v>46387</x:v>
      </x:c>
      <x:c r="E4" s="44" t="n">
        <x:v>250000</x:v>
      </x:c>
      <x:c r="F4" s="44" t="n">
        <x:f>SUMIFS('Catatan Setoran'!$D$4:$D$200,'Catatan Setoran'!$B$4:$B$200,A4)</x:f>
        <x:v>750000</x:v>
      </x:c>
      <x:c r="G4" s="44" t="n">
        <x:f>E4+F4</x:f>
        <x:v>1000000</x:v>
      </x:c>
      <x:c r="H4" s="44" t="n">
        <x:f>IF(C4="","",MAX(0,C4-G4))</x:f>
        <x:v>2000000</x:v>
      </x:c>
      <x:c r="I4" s="46" t="n">
        <x:f>IF(OR(C4="",C4&lt;=0),"",MIN(1,G4/C4))</x:f>
        <x:v>0.3333333333333333</x:v>
      </x:c>
      <x:c r="J4" s="43" t="str">
        <x:f>IF(B4="","Belum diisi",IF(OR(C4="",C4&lt;=0),"Target belum valid",IF(G4&gt;=C4,"Tercapai",IF(D4="","Tanpa tanggal target",IF(TODAY()&gt;D4,"Lewat target","Berjalan")))))</x:f>
        <x:v>Berjalan</x:v>
      </x:c>
      <x:c r="K4" s="43" t="str">
        <x:v>Contoh target</x:v>
      </x:c>
      <x:c r="L4" s="43" t="str">
        <x:f>IF(OR(C4&lt;0,E4&lt;0),"Cek angka negatif",IF(AND(C4&lt;&gt;"",G4&gt;C4),"Setoran melebihi target",""))</x:f>
      </x:c>
    </x:row>
    <x:row r="5">
      <x:c r="A5" s="43" t="str">
        <x:v>TBG-002</x:v>
      </x:c>
      <x:c r="B5" s="43" t="str">
        <x:v>Perangkat Kerja</x:v>
      </x:c>
      <x:c r="C5" s="44" t="n">
        <x:v>2000000</x:v>
      </x:c>
      <x:c r="D5" s="45" t="n">
        <x:v>46326</x:v>
      </x:c>
      <x:c r="E5" s="44" t="n">
        <x:v>100000</x:v>
      </x:c>
      <x:c r="F5" s="44" t="n">
        <x:f>SUMIFS('Catatan Setoran'!$D$4:$D$200,'Catatan Setoran'!$B$4:$B$200,A5)</x:f>
        <x:v>400000</x:v>
      </x:c>
      <x:c r="G5" s="44" t="n">
        <x:f>E5+F5</x:f>
        <x:v>500000</x:v>
      </x:c>
      <x:c r="H5" s="44" t="n">
        <x:f>IF(C5="","",MAX(0,C5-G5))</x:f>
        <x:v>1500000</x:v>
      </x:c>
      <x:c r="I5" s="46" t="n">
        <x:f>IF(OR(C5="",C5&lt;=0),"",MIN(1,G5/C5))</x:f>
        <x:v>0.25</x:v>
      </x:c>
      <x:c r="J5" s="43" t="str">
        <x:f>IF(B5="","Belum diisi",IF(OR(C5="",C5&lt;=0),"Target belum valid",IF(G5&gt;=C5,"Tercapai",IF(D5="","Tanpa tanggal target",IF(TODAY()&gt;D5,"Lewat target","Berjalan")))))</x:f>
        <x:v>Berjalan</x:v>
      </x:c>
      <x:c r="K5" s="43" t="str">
        <x:v>Contoh target</x:v>
      </x:c>
      <x:c r="L5" s="43" t="str">
        <x:f>IF(OR(C5&lt;0,E5&lt;0),"Cek angka negatif",IF(AND(C5&lt;&gt;"",G5&gt;C5),"Setoran melebihi target",""))</x:f>
      </x:c>
    </x:row>
    <x:row r="6">
      <x:c r="A6" s="43" t="str">
        <x:v>TBG-003</x:v>
      </x:c>
      <x:c r="B6" s="43" t="str"/>
      <x:c r="C6" s="44"/>
      <x:c r="D6" s="45"/>
      <x:c r="E6" s="44" t="n">
        <x:v>0</x:v>
      </x:c>
      <x:c r="F6" s="44" t="n">
        <x:f>SUMIFS('Catatan Setoran'!$D$4:$D$200,'Catatan Setoran'!$B$4:$B$200,A6)</x:f>
        <x:v>0</x:v>
      </x:c>
      <x:c r="G6" s="44" t="n">
        <x:f>E6+F6</x:f>
        <x:v>0</x:v>
      </x:c>
      <x:c r="H6" s="44" t="str">
        <x:f>IF(C6="","",MAX(0,C6-G6))</x:f>
      </x:c>
      <x:c r="I6" s="46" t="str">
        <x:f>IF(OR(C6="",C6&lt;=0),"",MIN(1,G6/C6))</x:f>
      </x:c>
      <x:c r="J6" s="43" t="str">
        <x:f>IF(B6="","Belum diisi",IF(OR(C6="",C6&lt;=0),"Target belum valid",IF(G6&gt;=C6,"Tercapai",IF(D6="","Tanpa tanggal target",IF(TODAY()&gt;D6,"Lewat target","Berjalan")))))</x:f>
        <x:v>Belum diisi</x:v>
      </x:c>
      <x:c r="K6" s="43" t="str">
        <x:v>Isi saat siap</x:v>
      </x:c>
      <x:c r="L6" s="43" t="str">
        <x:f>IF(OR(C6&lt;0,E6&lt;0),"Cek angka negatif",IF(AND(C6&lt;&gt;"",G6&gt;C6),"Setoran melebihi target",""))</x:f>
      </x:c>
    </x:row>
    <x:row r="7">
      <x:c r="A7" s="43" t="str">
        <x:v>TBG-004</x:v>
      </x:c>
      <x:c r="B7" s="43" t="str">
        <x:v>Dana Cadangan</x:v>
      </x:c>
      <x:c r="C7" s="44" t="n">
        <x:v>1500000</x:v>
      </x:c>
      <x:c r="D7" s="45" t="n">
        <x:v>46265</x:v>
      </x:c>
      <x:c r="E7" s="44" t="n">
        <x:v>0</x:v>
      </x:c>
      <x:c r="F7" s="44" t="n">
        <x:f>SUMIFS('Catatan Setoran'!$D$4:$D$200,'Catatan Setoran'!$B$4:$B$200,A7)</x:f>
        <x:v>150000</x:v>
      </x:c>
      <x:c r="G7" s="44" t="n">
        <x:f>E7+F7</x:f>
        <x:v>150000</x:v>
      </x:c>
      <x:c r="H7" s="44" t="n">
        <x:f>IF(C7="","",MAX(0,C7-G7))</x:f>
        <x:v>1350000</x:v>
      </x:c>
      <x:c r="I7" s="46" t="n">
        <x:f>IF(OR(C7="",C7&lt;=0),"",MIN(1,G7/C7))</x:f>
        <x:v>0.1</x:v>
      </x:c>
      <x:c r="J7" s="43" t="str">
        <x:f>IF(B7="","Belum diisi",IF(OR(C7="",C7&lt;=0),"Target belum valid",IF(G7&gt;=C7,"Tercapai",IF(D7="","Tanpa tanggal target",IF(TODAY()&gt;D7,"Lewat target","Berjalan")))))</x:f>
        <x:v>Berjalan</x:v>
      </x:c>
      <x:c r="K7" s="43" t="str">
        <x:v>Contoh target</x:v>
      </x:c>
      <x:c r="L7" s="43" t="str">
        <x:f>IF(OR(C7&lt;0,E7&lt;0),"Cek angka negatif",IF(AND(C7&lt;&gt;"",G7&gt;C7),"Setoran melebihi target",""))</x:f>
      </x:c>
    </x:row>
  </x:sheetData>
  <x:mergeCells>
    <x:mergeCell ref="A1:L1"/>
  </x:mergeCells>
  <x:dataValidations count="2">
    <x:dataValidation type="decimal" operator="greaterThanOrEqual" sqref="C4:C200">
      <x:formula1>0</x:formula1>
    </x:dataValidation>
    <x:dataValidation type="decimal" operator="greaterThanOrEqual" sqref="E4:E2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40191ae4d14e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3" t="str">
        <x:v>CATATAN SETORAN</x:v>
      </x:c>
      <x:c r="B1" s="3" t="str">
        <x:v>CATATAN SETORAN</x:v>
      </x:c>
      <x:c r="C1" s="3" t="str">
        <x:v>CATATAN SETORAN</x:v>
      </x:c>
      <x:c r="D1" s="3" t="str">
        <x:v>CATATAN SETORAN</x:v>
      </x:c>
      <x:c r="E1" s="3" t="str">
        <x:v>CATATAN SETORAN</x:v>
      </x:c>
      <x:c r="F1" s="3" t="str">
        <x:v>CATATAN SETORAN</x:v>
      </x:c>
    </x:row>
    <x:row r="3">
      <x:c r="A3" s="31" t="str">
        <x:v>Tanggal</x:v>
      </x:c>
      <x:c r="B3" s="31" t="str">
        <x:v>ID Target</x:v>
      </x:c>
      <x:c r="C3" s="31" t="str">
        <x:v>Metode</x:v>
      </x:c>
      <x:c r="D3" s="31" t="str">
        <x:v>Nominal</x:v>
      </x:c>
      <x:c r="E3" s="31" t="str">
        <x:v>Sumber/Referensi</x:v>
      </x:c>
      <x:c r="F3" s="31" t="str">
        <x:v>Catatan</x:v>
      </x:c>
    </x:row>
    <x:row r="4">
      <x:c r="A4" s="45" t="n">
        <x:v>46206</x:v>
      </x:c>
      <x:c r="B4" s="43" t="str">
        <x:v>TBG-001</x:v>
      </x:c>
      <x:c r="C4" s="43" t="str">
        <x:v>Transfer</x:v>
      </x:c>
      <x:c r="D4" s="44" t="n">
        <x:v>500000</x:v>
      </x:c>
      <x:c r="E4" s="43" t="str">
        <x:v>Rekening pribadi</x:v>
      </x:c>
      <x:c r="F4" s="43" t="str">
        <x:v>Setoran contoh</x:v>
      </x:c>
    </x:row>
    <x:row r="5">
      <x:c r="A5" s="45" t="n">
        <x:v>46210</x:v>
      </x:c>
      <x:c r="B5" s="43" t="str">
        <x:v>TBG-001</x:v>
      </x:c>
      <x:c r="C5" s="43" t="str">
        <x:v>Tunai</x:v>
      </x:c>
      <x:c r="D5" s="44" t="n">
        <x:v>250000</x:v>
      </x:c>
      <x:c r="E5" s="43" t="str">
        <x:v>Amplop tabungan</x:v>
      </x:c>
      <x:c r="F5" s="43" t="str">
        <x:v>Setoran kedua</x:v>
      </x:c>
    </x:row>
    <x:row r="6">
      <x:c r="A6" s="45" t="n">
        <x:v>46212</x:v>
      </x:c>
      <x:c r="B6" s="43" t="str">
        <x:v>TBG-002</x:v>
      </x:c>
      <x:c r="C6" s="43" t="str">
        <x:v>Transfer</x:v>
      </x:c>
      <x:c r="D6" s="44" t="n">
        <x:v>400000</x:v>
      </x:c>
      <x:c r="E6" s="43" t="str">
        <x:v>Rekening pribadi</x:v>
      </x:c>
      <x:c r="F6" s="43" t="str">
        <x:v>Setoran contoh</x:v>
      </x:c>
    </x:row>
    <x:row r="7">
      <x:c r="A7" s="45" t="n">
        <x:v>46214</x:v>
      </x:c>
      <x:c r="B7" s="43" t="str">
        <x:v>TBG-004</x:v>
      </x:c>
      <x:c r="C7" s="43" t="str">
        <x:v>QRIS</x:v>
      </x:c>
      <x:c r="D7" s="44" t="n">
        <x:v>150000</x:v>
      </x:c>
      <x:c r="E7" s="43" t="str">
        <x:v>Dompet digital</x:v>
      </x:c>
      <x:c r="F7" s="43" t="str">
        <x:v>Setoran contoh</x:v>
      </x:c>
    </x:row>
    <x:row r="8">
      <x:c r="A8" s="45"/>
      <x:c r="B8" s="43" t="str"/>
      <x:c r="C8" s="43" t="str"/>
      <x:c r="D8" s="44"/>
      <x:c r="E8" s="43" t="str"/>
      <x:c r="F8" s="43" t="str"/>
    </x:row>
  </x:sheetData>
  <x:mergeCells>
    <x:mergeCell ref="A1:F1"/>
  </x:mergeCells>
  <x:dataValidations count="3">
    <x:dataValidation type="list" sqref="B4:B200">
      <x:formula1>"TBG-001,TBG-002,TBG-003,TBG-004"</x:formula1>
    </x:dataValidation>
    <x:dataValidation type="list" sqref="C4:C200">
      <x:formula1>"Tunai,Transfer,QRIS"</x:formula1>
    </x:dataValidation>
    <x:dataValidation type="decimal" operator="greaterThanOrEqual" sqref="D4:D2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d6ed48a46648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8" customHeight="1">
      <x:c r="A1" s="3" t="str">
        <x:v>RINGKASAN TARGET TABUNGAN</x:v>
      </x:c>
      <x:c r="B1" s="3" t="str">
        <x:v>RINGKASAN TARGET TABUNGAN</x:v>
      </x:c>
      <x:c r="C1" s="3" t="str">
        <x:v>RINGKASAN TARGET TABUNGAN</x:v>
      </x:c>
      <x:c r="D1" s="3" t="str">
        <x:v>RINGKASAN TARGET TABUNGAN</x:v>
      </x:c>
      <x:c r="E1" s="3" t="str">
        <x:v>RINGKASAN TARGET TABUNGAN</x:v>
      </x:c>
      <x:c r="F1" s="3" t="str">
        <x:v>RINGKASAN TARGET TABUNGAN</x:v>
      </x:c>
      <x:c r="G1" s="3" t="str">
        <x:v>RINGKASAN TARGET TABUNGAN</x:v>
      </x:c>
      <x:c r="H1" s="3" t="str">
        <x:v>RINGKASAN TARGET TABUNGAN</x:v>
      </x:c>
      <x:c r="I1" s="3" t="str">
        <x:v>RINGKASAN TARGET TABUNGAN</x:v>
      </x:c>
      <x:c r="J1" s="3" t="str">
        <x:v>RINGKASAN TARGET TABUNGAN</x:v>
      </x:c>
    </x:row>
    <x:row r="3">
      <x:c r="A3" s="7" t="str">
        <x:v>Total Nominal Target</x:v>
      </x:c>
      <x:c r="B3" s="48" t="n">
        <x:f>SUM('Daftar Target'!$C$4:$C$200)</x:f>
        <x:v>6500000</x:v>
      </x:c>
    </x:row>
    <x:row r="4">
      <x:c r="A4" s="7" t="str">
        <x:v>Total Terkumpul</x:v>
      </x:c>
      <x:c r="B4" s="48" t="n">
        <x:f>SUM('Daftar Target'!$G$4:$G$200)</x:f>
        <x:v>1650000</x:v>
      </x:c>
    </x:row>
    <x:row r="5">
      <x:c r="A5" s="7" t="str">
        <x:v>Total Sisa</x:v>
      </x:c>
      <x:c r="B5" s="48" t="n">
        <x:f>SUM('Daftar Target'!$H$4:$H$200)</x:f>
        <x:v>4850000</x:v>
      </x:c>
    </x:row>
    <x:row r="6">
      <x:c r="A6" s="7" t="str">
        <x:v>Target Tercapai</x:v>
      </x:c>
      <x:c r="B6" s="7" t="n">
        <x:f>COUNTIF('Daftar Target'!$J$4:$J$200,"Tercapai")</x:f>
        <x:v>0</x:v>
      </x:c>
    </x:row>
    <x:row r="7">
      <x:c r="A7" s="7" t="str">
        <x:v>Target Lewat Tanggal</x:v>
      </x:c>
      <x:c r="B7" s="7" t="n">
        <x:f>COUNTIF('Daftar Target'!$J$4:$J$200,"Lewat target")</x:f>
        <x:v>0</x:v>
      </x:c>
    </x:row>
    <x:row r="10">
      <x:c r="A10" s="31" t="str">
        <x:f>'Daftar Target'!B3</x:f>
        <x:v>Nama Target</x:v>
      </x:c>
      <x:c r="B10" s="31" t="str">
        <x:f>'Daftar Target'!I3</x:f>
        <x:v>Progres</x:v>
      </x:c>
    </x:row>
    <x:row r="11">
      <x:c r="A11" t="str">
        <x:f>'Daftar Target'!B4</x:f>
        <x:v>Dana Perjalanan</x:v>
      </x:c>
      <x:c r="B11" s="33" t="n">
        <x:f>'Daftar Target'!I4</x:f>
        <x:v>0.3333333333333333</x:v>
      </x:c>
    </x:row>
    <x:row r="12">
      <x:c r="A12" t="str">
        <x:f>'Daftar Target'!B5</x:f>
        <x:v>Perangkat Kerja</x:v>
      </x:c>
      <x:c r="B12" s="33" t="n">
        <x:f>'Daftar Target'!I5</x:f>
        <x:v>0.25</x:v>
      </x:c>
    </x:row>
    <x:row r="13">
      <x:c r="A13" t="str">
        <x:f>'Daftar Target'!B7</x:f>
        <x:v>Dana Cadangan</x:v>
      </x:c>
      <x:c r="B13" s="33" t="n">
        <x:f>'Daftar Target'!I7</x:f>
        <x:v>0.1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5aad4ca459384bd5"/>
</x:worksheet>
</file>