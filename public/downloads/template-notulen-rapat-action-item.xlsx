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6b5ac363e644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a Pakai" sheetId="1" r:id="Rbc05bf315d7042e0"/>
    <x:sheet xmlns:r="http://schemas.openxmlformats.org/officeDocument/2006/relationships" name="Informasi Rapat" sheetId="2" r:id="Rb6374af6f92747fc"/>
    <x:sheet xmlns:r="http://schemas.openxmlformats.org/officeDocument/2006/relationships" name="Notulen dan Keputusan" sheetId="3" r:id="R739ef77fba8c4d7e"/>
    <x:sheet xmlns:r="http://schemas.openxmlformats.org/officeDocument/2006/relationships" name="Action Item" sheetId="4" r:id="R82efef1c867747c3"/>
    <x:sheet xmlns:r="http://schemas.openxmlformats.org/officeDocument/2006/relationships" name="Ringkasan" sheetId="5" r:id="R8695dd5cc5e94e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67D7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</x:fills>
  <x:borders count="8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vertical="top"/>
    </x:xf>
    <x:xf numFmtId="200" fontId="0" fillId="5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2c3a9852f045e1" /><Relationship Type="http://schemas.openxmlformats.org/officeDocument/2006/relationships/theme" Target="/xl/theme/theme1.xml" Id="R85651bcc071341f8" /><Relationship Type="http://schemas.openxmlformats.org/officeDocument/2006/relationships/sharedStrings" Target="/xl/sharedStrings.xml" Id="R8403f0f3f50b4652" /><Relationship Type="http://schemas.openxmlformats.org/officeDocument/2006/relationships/worksheet" Target="/xl/worksheets/sheet1.xml" Id="Rbc05bf315d7042e0" /><Relationship Type="http://schemas.openxmlformats.org/officeDocument/2006/relationships/worksheet" Target="/xl/worksheets/sheet2.xml" Id="Rb6374af6f92747fc" /><Relationship Type="http://schemas.openxmlformats.org/officeDocument/2006/relationships/worksheet" Target="/xl/worksheets/sheet3.xml" Id="R739ef77fba8c4d7e" /><Relationship Type="http://schemas.openxmlformats.org/officeDocument/2006/relationships/worksheet" Target="/xl/worksheets/sheet4.xml" Id="R82efef1c867747c3" /><Relationship Type="http://schemas.openxmlformats.org/officeDocument/2006/relationships/worksheet" Target="/xl/worksheets/sheet5.xml" Id="R8695dd5cc5e94e7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7e57ebf5ea14d9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Action Item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'Ringkasan'!$A$3:$A$5</c:f>
              <c:strCache>
                <c:ptCount val="0"/>
              </c:strCache>
            </c:strRef>
          </c:cat>
          <c:val>
            <c:numRef>
              <c:f>'Ringkasan'!$B$3:$B$5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e57ebf5ea14d9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eetingsTable" displayName="MeetingsTable" ref="A3:G5" headerRowCount="1" totalsRowCount="0" totalsRowShown="0">
  <x:tableColumns count="7">
    <x:tableColumn id="1" name="ID Rapat"/>
    <x:tableColumn id="2" name="Judul Rapat"/>
    <x:tableColumn id="3" name="Tanggal"/>
    <x:tableColumn id="4" name="Pemimpin"/>
    <x:tableColumn id="5" name="Peserta"/>
    <x:tableColumn id="6" name="Tujuan"/>
    <x:tableColumn id="7" name="Catata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etingNotesTable" displayName="MeetingNotesTable" ref="A3:F6" headerRowCount="1" totalsRowCount="0" totalsRowShown="0">
  <x:tableColumns count="6">
    <x:tableColumn id="1" name="ID Rapat"/>
    <x:tableColumn id="2" name="Agenda"/>
    <x:tableColumn id="3" name="Poin Diskusi"/>
    <x:tableColumn id="4" name="Keputusan"/>
    <x:tableColumn id="5" name="Risiko/Catatan"/>
    <x:tableColumn id="6" name="Pencat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tionItemsTable" displayName="ActionItemsTable" ref="A3:J8" headerRowCount="1" totalsRowCount="0" totalsRowShown="0">
  <x:tableColumns count="10">
    <x:tableColumn id="1" name="ID"/>
    <x:tableColumn id="2" name="ID Rapat"/>
    <x:tableColumn id="3" name="Action Item"/>
    <x:tableColumn id="4" name="Pemilik"/>
    <x:tableColumn id="5" name="Prioritas"/>
    <x:tableColumn id="6" name="Jatuh Tempo"/>
    <x:tableColumn id="7" name="Status"/>
    <x:tableColumn id="8" name="Hari Tersisa"/>
    <x:tableColumn id="9" name="Status Keterlambatan"/>
    <x:tableColumn id="10" name="Catat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82fbee926444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5412054de54f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4b1011a61d543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87990265d87548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5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8" customHeight="1">
      <x:c r="A1" s="3" t="str">
        <x:v>Template Notulen Rapat dan Action Item</x:v>
      </x:c>
      <x:c r="B1" s="3" t="str">
        <x:v>Template Notulen Rapat dan Action Item</x:v>
      </x:c>
      <x:c r="C1" s="3" t="str">
        <x:v>Template Notulen Rapat dan Action Item</x:v>
      </x:c>
      <x:c r="D1" s="3" t="str">
        <x:v>Template Notulen Rapat dan Action Item</x:v>
      </x:c>
      <x:c r="E1" s="3" t="str">
        <x:v>Template Notulen Rapat dan Action Item</x:v>
      </x:c>
      <x:c r="F1" s="3" t="str">
        <x:v>Template Notulen Rapat dan Action Item</x:v>
      </x:c>
    </x:row>
    <x:row r="3">
      <x:c r="A3" s="5" t="str">
        <x:v>Mulai dari sini</x:v>
      </x:c>
      <x:c r="B3" s="5" t="str">
        <x:v>Mulai dari sini</x:v>
      </x:c>
      <x:c r="C3" s="5" t="str">
        <x:v>Mulai dari sini</x:v>
      </x:c>
      <x:c r="D3" s="5" t="str">
        <x:v>Mulai dari sini</x:v>
      </x:c>
      <x:c r="E3" s="5" t="str">
        <x:v>Mulai dari sini</x:v>
      </x:c>
      <x:c r="F3" s="5" t="str">
        <x:v>Mulai dari sini</x:v>
      </x:c>
    </x:row>
    <x:row r="5">
      <x:c r="A5" s="7" t="n">
        <x:v>1</x:v>
      </x:c>
      <x:c r="B5" s="8" t="str">
        <x:v>Isi Informasi Rapat agar action item dapat dikaitkan dengan rapat yang tepat.</x:v>
      </x:c>
      <x:c r="C5" s="7"/>
      <x:c r="D5" s="7"/>
      <x:c r="E5" s="7"/>
      <x:c r="F5" s="7"/>
    </x:row>
    <x:row r="6">
      <x:c r="A6" s="7" t="n">
        <x:v>2</x:v>
      </x:c>
      <x:c r="B6" s="8" t="str">
        <x:v>Catat agenda, poin diskusi, dan keputusan secara terpisah di Notulen dan Keputusan.</x:v>
      </x:c>
      <x:c r="C6" s="7"/>
      <x:c r="D6" s="7"/>
      <x:c r="E6" s="7"/>
      <x:c r="F6" s="7"/>
    </x:row>
    <x:row r="7">
      <x:c r="A7" s="7" t="n">
        <x:v>3</x:v>
      </x:c>
      <x:c r="B7" s="8" t="str">
        <x:v>Tambahkan setiap tindak lanjut pada Action Item, lengkap dengan pemilik dan status.</x:v>
      </x:c>
      <x:c r="C7" s="7"/>
      <x:c r="D7" s="7"/>
      <x:c r="E7" s="7"/>
      <x:c r="F7" s="7"/>
    </x:row>
    <x:row r="8">
      <x:c r="A8" s="7" t="n">
        <x:v>4</x:v>
      </x:c>
      <x:c r="B8" s="8" t="str">
        <x:v>Gunakan Ringkasan untuk memeriksa pekerjaan terbuka dan lewat jatuh tempo.</x:v>
      </x:c>
      <x:c r="C8" s="7"/>
      <x:c r="D8" s="7"/>
      <x:c r="E8" s="7"/>
      <x:c r="F8" s="7"/>
    </x:row>
    <x:row r="11">
      <x:c r="A11" s="5" t="str">
        <x:v>Batasan penggunaan</x:v>
      </x:c>
      <x:c r="B11" s="5" t="str">
        <x:v>Batasan penggunaan</x:v>
      </x:c>
      <x:c r="C11" s="5" t="str">
        <x:v>Batasan penggunaan</x:v>
      </x:c>
      <x:c r="D11" s="5" t="str">
        <x:v>Batasan penggunaan</x:v>
      </x:c>
      <x:c r="E11" s="5" t="str">
        <x:v>Batasan penggunaan</x:v>
      </x:c>
      <x:c r="F11" s="5" t="str">
        <x:v>Batasan penggunaan</x:v>
      </x:c>
    </x:row>
    <x:row r="13">
      <x:c r="A13" s="22" t="str">
        <x:v>Template ini membantu dokumentasi internal sederhana. Penanggung jawab dokumen tetap perlu memastikan keputusan dan catatan disetujui oleh peserta rapat.</x:v>
      </x:c>
      <x:c r="B13" s="23" t="str">
        <x:v>Template ini membantu dokumentasi internal sederhana. Penanggung jawab dokumen tetap perlu memastikan keputusan dan catatan disetujui oleh peserta rapat.</x:v>
      </x:c>
      <x:c r="C13" s="23" t="str">
        <x:v>Template ini membantu dokumentasi internal sederhana. Penanggung jawab dokumen tetap perlu memastikan keputusan dan catatan disetujui oleh peserta rapat.</x:v>
      </x:c>
      <x:c r="D13" s="23" t="str">
        <x:v>Template ini membantu dokumentasi internal sederhana. Penanggung jawab dokumen tetap perlu memastikan keputusan dan catatan disetujui oleh peserta rapat.</x:v>
      </x:c>
      <x:c r="E13" s="23" t="str">
        <x:v>Template ini membantu dokumentasi internal sederhana. Penanggung jawab dokumen tetap perlu memastikan keputusan dan catatan disetujui oleh peserta rapat.</x:v>
      </x:c>
      <x:c r="F13" s="24" t="str">
        <x:v>Template ini membantu dokumentasi internal sederhana. Penanggung jawab dokumen tetap perlu memastikan keputusan dan catatan disetujui oleh peserta rapat.</x:v>
      </x:c>
    </x:row>
    <x:row r="14">
      <x:c r="A14" s="25" t="str">
        <x:v>Template ini membantu dokumentasi internal sederhana. Penanggung jawab dokumen tetap perlu memastikan keputusan dan catatan disetujui oleh peserta rapat.</x:v>
      </x:c>
      <x:c r="B14" s="26" t="str">
        <x:v>Template ini membantu dokumentasi internal sederhana. Penanggung jawab dokumen tetap perlu memastikan keputusan dan catatan disetujui oleh peserta rapat.</x:v>
      </x:c>
      <x:c r="C14" s="26" t="str">
        <x:v>Template ini membantu dokumentasi internal sederhana. Penanggung jawab dokumen tetap perlu memastikan keputusan dan catatan disetujui oleh peserta rapat.</x:v>
      </x:c>
      <x:c r="D14" s="26" t="str">
        <x:v>Template ini membantu dokumentasi internal sederhana. Penanggung jawab dokumen tetap perlu memastikan keputusan dan catatan disetujui oleh peserta rapat.</x:v>
      </x:c>
      <x:c r="E14" s="26" t="str">
        <x:v>Template ini membantu dokumentasi internal sederhana. Penanggung jawab dokumen tetap perlu memastikan keputusan dan catatan disetujui oleh peserta rapat.</x:v>
      </x:c>
      <x:c r="F14" s="27" t="str">
        <x:v>Template ini membantu dokumentasi internal sederhana. Penanggung jawab dokumen tetap perlu memastikan keputusan dan catatan disetujui oleh peserta rapat.</x:v>
      </x:c>
    </x:row>
  </x:sheetData>
  <x:mergeCells>
    <x:mergeCell ref="A1:F1"/>
    <x:mergeCell ref="A3:F3"/>
    <x:mergeCell ref="B5:F5"/>
    <x:mergeCell ref="B6:F6"/>
    <x:mergeCell ref="B7:F7"/>
    <x:mergeCell ref="B8:F8"/>
    <x:mergeCell ref="A11:F11"/>
    <x:mergeCell ref="A13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3" max="3" width="22" hidden="0" customWidth="1"/>
    <x:col min="4" max="4" width="22" hidden="0" customWidth="1"/>
    <x:col min="5" max="5" width="32" hidden="0" customWidth="1"/>
    <x:col min="6" max="6" width="32" hidden="0" customWidth="1"/>
    <x:col min="7" max="7" width="32" hidden="0" customWidth="1"/>
  </x:cols>
  <x:sheetData>
    <x:row r="1" ht="28" customHeight="1">
      <x:c r="A1" s="3" t="str">
        <x:v>INFORMASI RAPAT</x:v>
      </x:c>
      <x:c r="B1" s="3" t="str">
        <x:v>INFORMASI RAPAT</x:v>
      </x:c>
      <x:c r="C1" s="3" t="str">
        <x:v>INFORMASI RAPAT</x:v>
      </x:c>
      <x:c r="D1" s="3" t="str">
        <x:v>INFORMASI RAPAT</x:v>
      </x:c>
      <x:c r="E1" s="3" t="str">
        <x:v>INFORMASI RAPAT</x:v>
      </x:c>
      <x:c r="F1" s="3" t="str">
        <x:v>INFORMASI RAPAT</x:v>
      </x:c>
      <x:c r="G1" s="3" t="str">
        <x:v>INFORMASI RAPAT</x:v>
      </x:c>
    </x:row>
    <x:row r="3">
      <x:c r="A3" s="31" t="str">
        <x:v>ID Rapat</x:v>
      </x:c>
      <x:c r="B3" s="31" t="str">
        <x:v>Judul Rapat</x:v>
      </x:c>
      <x:c r="C3" s="31" t="str">
        <x:v>Tanggal</x:v>
      </x:c>
      <x:c r="D3" s="31" t="str">
        <x:v>Pemimpin</x:v>
      </x:c>
      <x:c r="E3" s="31" t="str">
        <x:v>Peserta</x:v>
      </x:c>
      <x:c r="F3" s="31" t="str">
        <x:v>Tujuan</x:v>
      </x:c>
      <x:c r="G3" s="31" t="str">
        <x:v>Catatan</x:v>
      </x:c>
    </x:row>
    <x:row r="4">
      <x:c r="A4" s="37" t="str">
        <x:v>RPT-001</x:v>
      </x:c>
      <x:c r="B4" s="37" t="str">
        <x:v>Rapat Operasional Mingguan</x:v>
      </x:c>
      <x:c r="C4" s="38" t="n">
        <x:v>46215</x:v>
      </x:c>
      <x:c r="D4" s="37" t="str">
        <x:v>Andi</x:v>
      </x:c>
      <x:c r="E4" s="37" t="str">
        <x:v>Andi, Sari, Bima</x:v>
      </x:c>
      <x:c r="F4" s="37" t="str">
        <x:v>Meninjau kegiatan minggu berjalan</x:v>
      </x:c>
      <x:c r="G4" s="37" t="str">
        <x:v>Contoh</x:v>
      </x:c>
    </x:row>
    <x:row r="5">
      <x:c r="A5" s="37" t="str">
        <x:v>RPT-002</x:v>
      </x:c>
      <x:c r="B5" s="37" t="str">
        <x:v>Rapat Perencanaan Promosi</x:v>
      </x:c>
      <x:c r="C5" s="38" t="n">
        <x:v>46217</x:v>
      </x:c>
      <x:c r="D5" s="37" t="str">
        <x:v>Sari</x:v>
      </x:c>
      <x:c r="E5" s="37" t="str">
        <x:v>Sari, Bima</x:v>
      </x:c>
      <x:c r="F5" s="37" t="str">
        <x:v>Menetapkan agenda promosi</x:v>
      </x:c>
      <x:c r="G5" s="37" t="str">
        <x:v>Contoh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da82fbee926444a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28" customHeight="1">
      <x:c r="A1" s="3" t="str">
        <x:v>NOTULEN DAN KEPUTUSAN</x:v>
      </x:c>
      <x:c r="B1" s="39" t="str">
        <x:v>NOTULEN DAN KEPUTUSAN</x:v>
      </x:c>
      <x:c r="C1" s="39" t="str">
        <x:v>NOTULEN DAN KEPUTUSAN</x:v>
      </x:c>
      <x:c r="D1" s="39" t="str">
        <x:v>NOTULEN DAN KEPUTUSAN</x:v>
      </x:c>
      <x:c r="E1" s="39" t="str">
        <x:v>NOTULEN DAN KEPUTUSAN</x:v>
      </x:c>
      <x:c r="F1" s="3" t="str">
        <x:v>NOTULEN DAN KEPUTUSAN</x:v>
      </x:c>
    </x:row>
    <x:row r="3">
      <x:c r="A3" s="31" t="str">
        <x:v>ID Rapat</x:v>
      </x:c>
      <x:c r="B3" s="31" t="str">
        <x:v>Agenda</x:v>
      </x:c>
      <x:c r="C3" s="31" t="str">
        <x:v>Poin Diskusi</x:v>
      </x:c>
      <x:c r="D3" s="31" t="str">
        <x:v>Keputusan</x:v>
      </x:c>
      <x:c r="E3" s="31" t="str">
        <x:v>Risiko/Catatan</x:v>
      </x:c>
      <x:c r="F3" s="31" t="str">
        <x:v>Pencatat</x:v>
      </x:c>
    </x:row>
    <x:row r="4" ht="35" customHeight="1">
      <x:c r="A4" s="37" t="str">
        <x:v>RPT-001</x:v>
      </x:c>
      <x:c r="B4" s="37" t="str">
        <x:v>Promosi akhir pekan</x:v>
      </x:c>
      <x:c r="C4" s="37" t="str">
        <x:v>Kanal promosi dan bahan konten dibahas</x:v>
      </x:c>
      <x:c r="D4" s="37" t="str">
        <x:v>Desain disiapkan paling lambat Rabu</x:v>
      </x:c>
      <x:c r="E4" s="37" t="str">
        <x:v>Periksa stok sebelum publikasi</x:v>
      </x:c>
      <x:c r="F4" s="37" t="str">
        <x:v>Andi</x:v>
      </x:c>
    </x:row>
    <x:row r="5" ht="35" customHeight="1">
      <x:c r="A5" s="37" t="str">
        <x:v>RPT-001</x:v>
      </x:c>
      <x:c r="B5" s="37" t="str">
        <x:v>Ketersediaan kemasan</x:v>
      </x:c>
      <x:c r="C5" s="37" t="str">
        <x:v>Stok kotak makanan hampir habis</x:v>
      </x:c>
      <x:c r="D5" s="37" t="str">
        <x:v>Lakukan pengecekan vendor</x:v>
      </x:c>
      <x:c r="E5" s="37" t="str">
        <x:v>Jumlah akhir perlu dikonfirmasi</x:v>
      </x:c>
      <x:c r="F5" s="37" t="str">
        <x:v>Andi</x:v>
      </x:c>
    </x:row>
    <x:row r="6" ht="35" customHeight="1">
      <x:c r="A6" s="37" t="str">
        <x:v>RPT-002</x:v>
      </x:c>
      <x:c r="B6" s="37" t="str">
        <x:v>Tema promosi</x:v>
      </x:c>
      <x:c r="C6" s="37" t="str">
        <x:v>Dua tema visual dibandingkan</x:v>
      </x:c>
      <x:c r="D6" s="37" t="str">
        <x:v>Gunakan tema hemat keluarga</x:v>
      </x:c>
      <x:c r="E6" s="37" t="str">
        <x:v>Tunggu persetujuan materi</x:v>
      </x:c>
      <x:c r="F6" s="37" t="str">
        <x:v>Sari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95412054de54f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31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23" hidden="0" customWidth="1"/>
    <x:col min="10" max="10" width="19" hidden="0" customWidth="1"/>
  </x:cols>
  <x:sheetData>
    <x:row r="1" ht="28" customHeight="1">
      <x:c r="A1" s="3" t="str">
        <x:v>ACTION ITEM</x:v>
      </x:c>
      <x:c r="B1" s="3" t="str">
        <x:v>ACTION ITEM</x:v>
      </x:c>
      <x:c r="C1" s="3" t="str">
        <x:v>ACTION ITEM</x:v>
      </x:c>
      <x:c r="D1" s="3" t="str">
        <x:v>ACTION ITEM</x:v>
      </x:c>
      <x:c r="E1" s="3" t="str">
        <x:v>ACTION ITEM</x:v>
      </x:c>
      <x:c r="F1" s="3" t="str">
        <x:v>ACTION ITEM</x:v>
      </x:c>
      <x:c r="G1" s="3" t="str">
        <x:v>ACTION ITEM</x:v>
      </x:c>
      <x:c r="H1" s="3" t="str">
        <x:v>ACTION ITEM</x:v>
      </x:c>
      <x:c r="I1" s="3" t="str">
        <x:v>ACTION ITEM</x:v>
      </x:c>
      <x:c r="J1" s="3" t="str">
        <x:v>ACTION ITEM</x:v>
      </x:c>
    </x:row>
    <x:row r="3">
      <x:c r="A3" s="31" t="str">
        <x:v>ID</x:v>
      </x:c>
      <x:c r="B3" s="31" t="str">
        <x:v>ID Rapat</x:v>
      </x:c>
      <x:c r="C3" s="31" t="str">
        <x:v>Action Item</x:v>
      </x:c>
      <x:c r="D3" s="31" t="str">
        <x:v>Pemilik</x:v>
      </x:c>
      <x:c r="E3" s="31" t="str">
        <x:v>Prioritas</x:v>
      </x:c>
      <x:c r="F3" s="31" t="str">
        <x:v>Jatuh Tempo</x:v>
      </x:c>
      <x:c r="G3" s="31" t="str">
        <x:v>Status</x:v>
      </x:c>
      <x:c r="H3" s="31" t="str">
        <x:v>Hari Tersisa</x:v>
      </x:c>
      <x:c r="I3" s="31" t="str">
        <x:v>Status Keterlambatan</x:v>
      </x:c>
      <x:c r="J3" s="31" t="str">
        <x:v>Catatan</x:v>
      </x:c>
    </x:row>
    <x:row r="4">
      <x:c r="A4" s="37" t="str">
        <x:v>ACT-001</x:v>
      </x:c>
      <x:c r="B4" s="37" t="str">
        <x:v>RPT-001</x:v>
      </x:c>
      <x:c r="C4" s="37" t="str">
        <x:v>Siapkan desain promosi</x:v>
      </x:c>
      <x:c r="D4" s="37" t="str">
        <x:v>Sari</x:v>
      </x:c>
      <x:c r="E4" s="37" t="str">
        <x:v>Tinggi</x:v>
      </x:c>
      <x:c r="F4" s="38" t="n">
        <x:v>46218</x:v>
      </x:c>
      <x:c r="G4" s="37" t="str">
        <x:v>Dikerjakan</x:v>
      </x:c>
      <x:c r="H4" s="37" t="n">
        <x:f>IF(OR(C4="",F4=""),"",F4-TODAY())</x:f>
        <x:v>1</x:v>
      </x:c>
      <x:c r="I4" s="37" t="str">
        <x:f>IF(C4="","",IF(G4="Selesai","Selesai",IF(F4="","Tanpa jatuh tempo",IF(F4&lt;TODAY(),"Lewat jatuh tempo","Aman"))))</x:f>
        <x:v>Aman</x:v>
      </x:c>
      <x:c r="J4" s="37" t="str">
        <x:v>Contoh</x:v>
      </x:c>
    </x:row>
    <x:row r="5">
      <x:c r="A5" s="37" t="str">
        <x:v>ACT-002</x:v>
      </x:c>
      <x:c r="B5" s="37" t="str">
        <x:v>RPT-001</x:v>
      </x:c>
      <x:c r="C5" s="37" t="str">
        <x:v>Cek stok kemasan</x:v>
      </x:c>
      <x:c r="D5" s="37" t="str">
        <x:v>Bima</x:v>
      </x:c>
      <x:c r="E5" s="37" t="str">
        <x:v>Sedang</x:v>
      </x:c>
      <x:c r="F5" s="38" t="n">
        <x:v>46217</x:v>
      </x:c>
      <x:c r="G5" s="37" t="str">
        <x:v>Belum Dimulai</x:v>
      </x:c>
      <x:c r="H5" s="37" t="n">
        <x:f>IF(OR(C5="",F5=""),"",F5-TODAY())</x:f>
        <x:v>0</x:v>
      </x:c>
      <x:c r="I5" s="37" t="str">
        <x:f>IF(C5="","",IF(G5="Selesai","Selesai",IF(F5="","Tanpa jatuh tempo",IF(F5&lt;TODAY(),"Lewat jatuh tempo","Aman"))))</x:f>
        <x:v>Aman</x:v>
      </x:c>
      <x:c r="J5" s="37" t="str">
        <x:v>Contoh</x:v>
      </x:c>
    </x:row>
    <x:row r="6">
      <x:c r="A6" s="37" t="str">
        <x:v>ACT-003</x:v>
      </x:c>
      <x:c r="B6" s="37" t="str">
        <x:v>RPT-001</x:v>
      </x:c>
      <x:c r="C6" s="37" t="str">
        <x:v>Kirim ringkasan rapat</x:v>
      </x:c>
      <x:c r="D6" s="37" t="str">
        <x:v>Andi</x:v>
      </x:c>
      <x:c r="E6" s="37" t="str">
        <x:v>Rendah</x:v>
      </x:c>
      <x:c r="F6" s="38" t="n">
        <x:v>46215</x:v>
      </x:c>
      <x:c r="G6" s="37" t="str">
        <x:v>Selesai</x:v>
      </x:c>
      <x:c r="H6" s="37" t="n">
        <x:f>IF(OR(C6="",F6=""),"",F6-TODAY())</x:f>
        <x:v>-2</x:v>
      </x:c>
      <x:c r="I6" s="37" t="str">
        <x:f>IF(C6="","",IF(G6="Selesai","Selesai",IF(F6="","Tanpa jatuh tempo",IF(F6&lt;TODAY(),"Lewat jatuh tempo","Aman"))))</x:f>
        <x:v>Selesai</x:v>
      </x:c>
      <x:c r="J6" s="37" t="str">
        <x:v>Contoh</x:v>
      </x:c>
    </x:row>
    <x:row r="7">
      <x:c r="A7" s="37" t="str">
        <x:v>ACT-004</x:v>
      </x:c>
      <x:c r="B7" s="37" t="str">
        <x:v>RPT-002</x:v>
      </x:c>
      <x:c r="C7" s="37" t="str">
        <x:v>Minta persetujuan materi</x:v>
      </x:c>
      <x:c r="D7" s="37" t="str">
        <x:v>Sari</x:v>
      </x:c>
      <x:c r="E7" s="37" t="str">
        <x:v>Sedang</x:v>
      </x:c>
      <x:c r="F7" s="38"/>
      <x:c r="G7" s="37" t="str">
        <x:v>Belum Dimulai</x:v>
      </x:c>
      <x:c r="H7" s="37" t="str">
        <x:f>IF(OR(C7="",F7=""),"",F7-TODAY())</x:f>
      </x:c>
      <x:c r="I7" s="37" t="str">
        <x:f>IF(C7="","",IF(G7="Selesai","Selesai",IF(F7="","Tanpa jatuh tempo",IF(F7&lt;TODAY(),"Lewat jatuh tempo","Aman"))))</x:f>
        <x:v>Tanpa jatuh tempo</x:v>
      </x:c>
      <x:c r="J7" s="37" t="str">
        <x:v>Tanpa tenggat contoh</x:v>
      </x:c>
    </x:row>
    <x:row r="8">
      <x:c r="A8" s="37" t="str">
        <x:v>ACT-005</x:v>
      </x:c>
      <x:c r="B8" s="37" t="str"/>
      <x:c r="C8" s="37" t="str"/>
      <x:c r="D8" s="37" t="str"/>
      <x:c r="E8" s="37" t="str">
        <x:v>Sedang</x:v>
      </x:c>
      <x:c r="F8" s="38"/>
      <x:c r="G8" s="37" t="str">
        <x:v>Belum Dimulai</x:v>
      </x:c>
      <x:c r="H8" s="37" t="str">
        <x:f>IF(OR(C8="",F8=""),"",F8-TODAY())</x:f>
      </x:c>
      <x:c r="I8" s="37" t="str">
        <x:f>IF(C8="","",IF(G8="Selesai","Selesai",IF(F8="","Tanpa jatuh tempo",IF(F8&lt;TODAY(),"Lewat jatuh tempo","Aman"))))</x:f>
      </x:c>
      <x:c r="J8" s="37" t="str">
        <x:v>Baris siap pakai</x:v>
      </x:c>
    </x:row>
  </x:sheetData>
  <x:mergeCells>
    <x:mergeCell ref="A1:J1"/>
  </x:mergeCells>
  <x:dataValidations count="3">
    <x:dataValidation type="list" sqref="B4:B200">
      <x:formula1>"RPT-001,RPT-002"</x:formula1>
    </x:dataValidation>
    <x:dataValidation type="list" sqref="E4:E200">
      <x:formula1>"Tinggi,Sedang,Rendah"</x:formula1>
    </x:dataValidation>
    <x:dataValidation type="list" sqref="G4:G200">
      <x:formula1>"Belum Dimulai,Dikerjakan,Selesai"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b1011a61d5430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8" customHeight="1">
      <x:c r="A1" s="3" t="str">
        <x:v>RINGKASAN ACTION ITEM</x:v>
      </x:c>
      <x:c r="B1" s="3" t="str">
        <x:v>RINGKASAN ACTION ITEM</x:v>
      </x:c>
      <x:c r="C1" s="3" t="str">
        <x:v>RINGKASAN ACTION ITEM</x:v>
      </x:c>
      <x:c r="D1" s="3" t="str">
        <x:v>RINGKASAN ACTION ITEM</x:v>
      </x:c>
      <x:c r="E1" s="3" t="str">
        <x:v>RINGKASAN ACTION ITEM</x:v>
      </x:c>
      <x:c r="F1" s="3" t="str">
        <x:v>RINGKASAN ACTION ITEM</x:v>
      </x:c>
      <x:c r="G1" s="3" t="str">
        <x:v>RINGKASAN ACTION ITEM</x:v>
      </x:c>
      <x:c r="H1" s="3" t="str">
        <x:v>RINGKASAN ACTION ITEM</x:v>
      </x:c>
      <x:c r="I1" s="3" t="str">
        <x:v>RINGKASAN ACTION ITEM</x:v>
      </x:c>
      <x:c r="J1" s="3" t="str">
        <x:v>RINGKASAN ACTION ITEM</x:v>
      </x:c>
    </x:row>
    <x:row r="3">
      <x:c r="A3" s="7" t="str">
        <x:v>Belum Dimulai</x:v>
      </x:c>
      <x:c r="B3" s="7" t="n">
        <x:f>COUNTIF('Action Item'!$G$4:$G$200,A3)</x:f>
        <x:v>3</x:v>
      </x:c>
    </x:row>
    <x:row r="4">
      <x:c r="A4" s="7" t="str">
        <x:v>Dikerjakan</x:v>
      </x:c>
      <x:c r="B4" s="7" t="n">
        <x:f>COUNTIF('Action Item'!$G$4:$G$200,A4)</x:f>
        <x:v>1</x:v>
      </x:c>
    </x:row>
    <x:row r="5">
      <x:c r="A5" s="7" t="str">
        <x:v>Selesai</x:v>
      </x:c>
      <x:c r="B5" s="7" t="n">
        <x:f>COUNTIF('Action Item'!$G$4:$G$200,A5)</x:f>
        <x:v>1</x:v>
      </x:c>
    </x:row>
    <x:row r="6">
      <x:c r="A6" s="7" t="str">
        <x:v>Lewat Jatuh Tempo</x:v>
      </x:c>
      <x:c r="B6" s="7" t="n">
        <x:f>COUNTIF('Action Item'!$I$4:$I$200,"Lewat jatuh tempo")</x:f>
        <x:v>0</x:v>
      </x:c>
    </x:row>
    <x:row r="7">
      <x:c r="A7" s="7" t="str">
        <x:v>Tanpa Jatuh Tempo</x:v>
      </x:c>
      <x:c r="B7" s="7" t="n">
        <x:f>COUNTIF('Action Item'!$I$4:$I$200,"Tanpa jatuh tempo")</x:f>
        <x:v>1</x:v>
      </x:c>
    </x:row>
    <x:row r="10">
      <x:c r="A10" s="31" t="str">
        <x:v>Pemilik</x:v>
      </x:c>
      <x:c r="B10" s="31" t="str">
        <x:v>Action Terbuka</x:v>
      </x:c>
    </x:row>
    <x:row r="11">
      <x:c r="A11" t="str">
        <x:v>Andi</x:v>
      </x:c>
      <x:c r="B11" t="n">
        <x:f>COUNTIFS('Action Item'!$D$4:$D$200,A11,'Action Item'!$G$4:$G$200,"&lt;&gt;Selesai",'Action Item'!$C$4:$C$200,"&lt;&gt;")</x:f>
        <x:v>0</x:v>
      </x:c>
    </x:row>
    <x:row r="12">
      <x:c r="A12" t="str">
        <x:v>Sari</x:v>
      </x:c>
      <x:c r="B12" t="n">
        <x:f>COUNTIFS('Action Item'!$D$4:$D$200,A12,'Action Item'!$G$4:$G$200,"&lt;&gt;Selesai",'Action Item'!$C$4:$C$200,"&lt;&gt;")</x:f>
        <x:v>2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87990265d87548c3"/>
</x:worksheet>
</file>