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ecff2cc7943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8aeaea382fe54701"/>
    <x:sheet xmlns:r="http://schemas.openxmlformats.org/officeDocument/2006/relationships" name="Rekap Pesanan" sheetId="2" r:id="R7c12b4683ad94483"/>
    <x:sheet xmlns:r="http://schemas.openxmlformats.org/officeDocument/2006/relationships" name="Ringkasan" sheetId="3" r:id="R978bc88078bb46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[$Rp-421] 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DEFEF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0" fillId="6" borderId="1" xfId="0" applyNumberFormat="1" applyFont="1" applyFill="1" applyBorder="1"/>
    <x:xf numFmtId="201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33dfbd6cc44388" /><Relationship Type="http://schemas.openxmlformats.org/officeDocument/2006/relationships/theme" Target="/xl/theme/theme1.xml" Id="Rfcb4c54a17d4409c" /><Relationship Type="http://schemas.openxmlformats.org/officeDocument/2006/relationships/sharedStrings" Target="/xl/sharedStrings.xml" Id="R9026460b8d9b4ebc" /><Relationship Type="http://schemas.openxmlformats.org/officeDocument/2006/relationships/worksheet" Target="/xl/worksheets/sheet1.xml" Id="R8aeaea382fe54701" /><Relationship Type="http://schemas.openxmlformats.org/officeDocument/2006/relationships/worksheet" Target="/xl/worksheets/sheet2.xml" Id="R7c12b4683ad94483" /><Relationship Type="http://schemas.openxmlformats.org/officeDocument/2006/relationships/worksheet" Target="/xl/worksheets/sheet3.xml" Id="R978bc88078bb46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8666c31c5514e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Data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'Ringkasan'!$A$10:$A$13</c:f>
              <c:strCache>
                <c:ptCount val="0"/>
              </c:strCache>
            </c:strRef>
          </c:cat>
          <c:val>
            <c:numRef>
              <c:f>'Ringkasan'!$B$10:$B$13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666c31c5514e7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aftTemplate20" displayName="DraftTemplate20" ref="A3:H6" headerRowCount="1" totalsRowCount="0" totalsRowShown="0">
  <x:tableColumns count="8">
    <x:tableColumn id="1" name="Tanggal"/>
    <x:tableColumn id="2" name="No. Pesanan"/>
    <x:tableColumn id="3" name="Pelanggan"/>
    <x:tableColumn id="4" name="Produk/Jasa"/>
    <x:tableColumn id="5" name="Jumlah"/>
    <x:tableColumn id="6" name="Harga Satuan"/>
    <x:tableColumn id="7" name="Total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df1059b10b42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44027dda8a949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3" t="str">
        <x:v>Template Rekap Pesanan Pelanggan Excel Gratis</x:v>
      </x:c>
      <x:c r="B1" s="3" t="str">
        <x:v>Template Rekap Pesanan Pelanggan Excel Gratis</x:v>
      </x:c>
      <x:c r="C1" s="3" t="str">
        <x:v>Template Rekap Pesanan Pelanggan Excel Gratis</x:v>
      </x:c>
      <x:c r="D1" s="3" t="str">
        <x:v>Template Rekap Pesanan Pelanggan Excel Gratis</x:v>
      </x:c>
      <x:c r="E1" s="3" t="str">
        <x:v>Template Rekap Pesanan Pelanggan Excel Gratis</x:v>
      </x:c>
      <x:c r="F1" s="3" t="str">
        <x:v>Template Rekap Pesanan Pelanggan Excel Gratis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8" t="n">
        <x:v>1</x:v>
      </x:c>
      <x:c r="B5" s="8" t="str">
        <x:v>Beri nomor pesanan yang unik.</x:v>
      </x:c>
      <x:c r="C5" s="8"/>
      <x:c r="D5" s="8"/>
      <x:c r="E5" s="8"/>
      <x:c r="F5" s="8"/>
    </x:row>
    <x:row r="6">
      <x:c r="A6" s="8" t="n">
        <x:v>2</x:v>
      </x:c>
      <x:c r="B6" s="8" t="str">
        <x:v>Masukkan pelanggan, barang atau jasa, jumlah, dan harga satuan.</x:v>
      </x:c>
      <x:c r="C6" s="8"/>
      <x:c r="D6" s="8"/>
      <x:c r="E6" s="8"/>
      <x:c r="F6" s="8"/>
    </x:row>
    <x:row r="7">
      <x:c r="A7" s="8" t="n">
        <x:v>3</x:v>
      </x:c>
      <x:c r="B7" s="8" t="str">
        <x:v>Kolom Total menghitung nilai setiap baris otomatis.</x:v>
      </x:c>
      <x:c r="C7" s="8"/>
      <x:c r="D7" s="8"/>
      <x:c r="E7" s="8"/>
      <x:c r="F7" s="8"/>
    </x:row>
    <x:row r="8">
      <x:c r="A8" s="8" t="n">
        <x:v>4</x:v>
      </x:c>
      <x:c r="B8" s="8" t="str">
        <x:v>Perbarui status saat pesanan berubah agar tindak lanjut lebih jelas.</x:v>
      </x:c>
      <x:c r="C8" s="8"/>
      <x:c r="D8" s="8"/>
      <x:c r="E8" s="8"/>
      <x:c r="F8" s="8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Template ini merekap pesanan dan tidak menggantikan invoice, stok, atau sistem kasir terintegrasi.</x:v>
      </x:c>
      <x:c r="B13" s="23"/>
      <x:c r="C13" s="23"/>
      <x:c r="D13" s="23"/>
      <x:c r="E13" s="23"/>
      <x:c r="F13" s="24"/>
    </x:row>
    <x:row r="14">
      <x:c r="A14" s="25"/>
      <x:c r="B14" s="26"/>
      <x:c r="C14" s="26"/>
      <x:c r="D14" s="26"/>
      <x:c r="E14" s="26"/>
      <x:c r="F14" s="27"/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TEMPLATE REKAP PESANAN PELANGGAN EXCEL GRATIS</x:v>
      </x:c>
      <x:c r="B1" s="3" t="str">
        <x:v>TEMPLATE REKAP PESANAN PELANGGAN EXCEL GRATIS</x:v>
      </x:c>
      <x:c r="C1" s="3" t="str">
        <x:v>TEMPLATE REKAP PESANAN PELANGGAN EXCEL GRATIS</x:v>
      </x:c>
      <x:c r="D1" s="3" t="str">
        <x:v>TEMPLATE REKAP PESANAN PELANGGAN EXCEL GRATIS</x:v>
      </x:c>
      <x:c r="E1" s="3" t="str">
        <x:v>TEMPLATE REKAP PESANAN PELANGGAN EXCEL GRATIS</x:v>
      </x:c>
      <x:c r="F1" s="3" t="str">
        <x:v>TEMPLATE REKAP PESANAN PELANGGAN EXCEL GRATIS</x:v>
      </x:c>
      <x:c r="G1" s="3" t="str">
        <x:v>TEMPLATE REKAP PESANAN PELANGGAN EXCEL GRATIS</x:v>
      </x:c>
      <x:c r="H1" s="3" t="str">
        <x:v>TEMPLATE REKAP PESANAN PELANGGAN EXCEL GRATIS</x:v>
      </x:c>
    </x:row>
    <x:row r="3">
      <x:c r="A3" s="31" t="str">
        <x:v>Tanggal</x:v>
      </x:c>
      <x:c r="B3" s="31" t="str">
        <x:v>No. Pesanan</x:v>
      </x:c>
      <x:c r="C3" s="31" t="str">
        <x:v>Pelanggan</x:v>
      </x:c>
      <x:c r="D3" s="31" t="str">
        <x:v>Produk/Jasa</x:v>
      </x:c>
      <x:c r="E3" s="31" t="str">
        <x:v>Jumlah</x:v>
      </x:c>
      <x:c r="F3" s="31" t="str">
        <x:v>Harga Satuan</x:v>
      </x:c>
      <x:c r="G3" s="31" t="str">
        <x:v>Total</x:v>
      </x:c>
      <x:c r="H3" s="31" t="str">
        <x:v>Status</x:v>
      </x:c>
    </x:row>
    <x:row r="4" ht="22" customHeight="1">
      <x:c r="A4" s="36" t="n">
        <x:v>46215</x:v>
      </x:c>
      <x:c r="B4" s="37" t="str">
        <x:v>ORD-001</x:v>
      </x:c>
      <x:c r="C4" s="37" t="str">
        <x:v>Toko Sinar Pagi</x:v>
      </x:c>
      <x:c r="D4" s="37" t="str">
        <x:v>Kopi Susu 1L</x:v>
      </x:c>
      <x:c r="E4" s="37" t="n">
        <x:v>8</x:v>
      </x:c>
      <x:c r="F4" s="38" t="n">
        <x:v>35000</x:v>
      </x:c>
      <x:c r="G4" s="38" t="n">
        <x:f>E4*F4</x:f>
        <x:v>280000</x:v>
      </x:c>
      <x:c r="H4" s="37" t="str">
        <x:v>Diproses</x:v>
      </x:c>
    </x:row>
    <x:row r="5" ht="22" customHeight="1">
      <x:c r="A5" s="36" t="n">
        <x:v>46216</x:v>
      </x:c>
      <x:c r="B5" s="37" t="str">
        <x:v>ORD-002</x:v>
      </x:c>
      <x:c r="C5" s="37" t="str">
        <x:v>Kantin Sehat</x:v>
      </x:c>
      <x:c r="D5" s="37" t="str">
        <x:v>Snack Box</x:v>
      </x:c>
      <x:c r="E5" s="37" t="n">
        <x:v>25</x:v>
      </x:c>
      <x:c r="F5" s="38" t="n">
        <x:v>15000</x:v>
      </x:c>
      <x:c r="G5" s="38" t="n">
        <x:f>E5*F5</x:f>
        <x:v>375000</x:v>
      </x:c>
      <x:c r="H5" s="37" t="str">
        <x:v>Selesai</x:v>
      </x:c>
    </x:row>
    <x:row r="6" ht="22" customHeight="1">
      <x:c r="A6" s="36" t="n">
        <x:v>46217</x:v>
      </x:c>
      <x:c r="B6" s="37" t="str">
        <x:v>ORD-003</x:v>
      </x:c>
      <x:c r="C6" s="37" t="str">
        <x:v>CV Maju Bersama</x:v>
      </x:c>
      <x:c r="D6" s="37" t="str">
        <x:v>Catering</x:v>
      </x:c>
      <x:c r="E6" s="37" t="n">
        <x:v>1</x:v>
      </x:c>
      <x:c r="F6" s="38" t="n">
        <x:v>450000</x:v>
      </x:c>
      <x:c r="G6" s="38" t="n">
        <x:f>E6*F6</x:f>
        <x:v>450000</x:v>
      </x:c>
      <x:c r="H6" s="37" t="str">
        <x:v>Menunggu Pembayaran</x:v>
      </x:c>
    </x:row>
  </x:sheetData>
  <x:mergeCells>
    <x:mergeCell ref="A1:H1"/>
  </x:mergeCells>
  <x:dataValidations count="1">
    <x:dataValidation type="list" sqref="H4:H120">
      <x:formula1>"Belum Mulai,Menunggu,Berjalan,Diproses,Terjadwal,Selesai,Sudah Dibayar,Aktif,Dicatat,Terkirim"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df1059b10b42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RINGKASAN PESANAN</x:v>
      </x:c>
      <x:c r="B1" s="3" t="str">
        <x:v>RINGKASAN PESANAN</x:v>
      </x:c>
      <x:c r="C1" s="3" t="str">
        <x:v>RINGKASAN PESANAN</x:v>
      </x:c>
      <x:c r="D1" s="3" t="str">
        <x:v>RINGKASAN PESANAN</x:v>
      </x:c>
      <x:c r="E1" s="3" t="str">
        <x:v>RINGKASAN PESANAN</x:v>
      </x:c>
      <x:c r="F1" s="3" t="str">
        <x:v>RINGKASAN PESANAN</x:v>
      </x:c>
      <x:c r="G1" s="3" t="str">
        <x:v>RINGKASAN PESANAN</x:v>
      </x:c>
      <x:c r="H1" s="3" t="str">
        <x:v>RINGKASAN PESANAN</x:v>
      </x:c>
    </x:row>
    <x:row r="3">
      <x:c r="A3" s="31" t="str">
        <x:v>Indikator</x:v>
      </x:c>
      <x:c r="B3" s="31" t="str">
        <x:v>Nilai</x:v>
      </x:c>
    </x:row>
    <x:row r="4">
      <x:c r="A4" s="42" t="str">
        <x:v>Jumlah baris tercatat</x:v>
      </x:c>
      <x:c r="B4" s="42" t="n">
        <x:f>COUNTA('Rekap Pesanan'!A4:A120)</x:f>
        <x:v>3</x:v>
      </x:c>
    </x:row>
    <x:row r="5">
      <x:c r="A5" s="42" t="str">
        <x:v>Nilai pesanan</x:v>
      </x:c>
      <x:c r="B5" s="43" t="n">
        <x:f>SUM('Rekap Pesanan'!G4:G120)</x:f>
        <x:v>1105000</x:v>
      </x:c>
    </x:row>
    <x:row r="6">
      <x:c r="A6" s="42" t="str">
        <x:v>Status selesai/aktif</x:v>
      </x:c>
      <x:c r="B6" s="42" t="n">
        <x:f>COUNTIF('Rekap Pesanan'!H4:H120,"Selesai")+COUNTIF('Rekap Pesanan'!H4:H120,"Aktif")+COUNTIF('Rekap Pesanan'!H4:H120,"Sudah Dibayar")</x:f>
        <x:v>1</x:v>
      </x:c>
    </x:row>
    <x:row r="9">
      <x:c r="A9" s="31" t="str">
        <x:v>Status</x:v>
      </x:c>
      <x:c r="B9" s="31" t="str">
        <x:v>Jumlah</x:v>
      </x:c>
    </x:row>
    <x:row r="10">
      <x:c r="A10" s="6" t="str">
        <x:v>Belum Mulai</x:v>
      </x:c>
      <x:c r="B10" s="6" t="n">
        <x:f>COUNTIF('Rekap Pesanan'!H4:H120,A10)</x:f>
        <x:v>0</x:v>
      </x:c>
    </x:row>
    <x:row r="11">
      <x:c r="A11" s="6" t="str">
        <x:v>Berjalan</x:v>
      </x:c>
      <x:c r="B11" s="6" t="n">
        <x:f>COUNTIF('Rekap Pesanan'!H5:H121,A11)</x:f>
        <x:v>0</x:v>
      </x:c>
    </x:row>
    <x:row r="12">
      <x:c r="A12" s="6" t="str">
        <x:v>Selesai</x:v>
      </x:c>
      <x:c r="B12" s="6" t="n">
        <x:f>COUNTIF('Rekap Pesanan'!H6:H122,A12)</x:f>
        <x:v>0</x:v>
      </x:c>
    </x:row>
    <x:row r="13">
      <x:c r="A13" s="6" t="str">
        <x:v>Lainnya</x:v>
      </x:c>
      <x:c r="B13" s="6" t="n">
        <x:f>MAX(0,B4-SUM(B10:B12))</x:f>
        <x:v>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a44027dda8a949c9"/>
</x:worksheet>
</file>