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7654431af748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a Pakai" sheetId="1" r:id="R75f11d9c5ec64fec"/>
    <x:sheet xmlns:r="http://schemas.openxmlformats.org/officeDocument/2006/relationships" name="Data Pengeluaran" sheetId="2" r:id="R358c298747be464e"/>
    <x:sheet xmlns:r="http://schemas.openxmlformats.org/officeDocument/2006/relationships" name="Kategori Pengeluaran" sheetId="3" r:id="Racdc22931ddc4e1e"/>
    <x:sheet xmlns:r="http://schemas.openxmlformats.org/officeDocument/2006/relationships" name="Rekap Bulanan" sheetId="4" r:id="R0e5923b020a14d95"/>
    <x:sheet xmlns:r="http://schemas.openxmlformats.org/officeDocument/2006/relationships" name="Dashboard" sheetId="5" r:id="Reebcf2b452a847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[$Rp-421] 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67D7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</x:fills>
  <x:borders count="8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vertical="top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200" fontId="0" fillId="5" borderId="1" xfId="0" applyNumberFormat="1" applyFont="1" applyFill="1" applyBorder="1"/>
    <x:xf numFmtId="201" fontId="0" fillId="5" borderId="1" xfId="0" applyNumberFormat="1" applyFont="1" applyFill="1" applyBorder="1"/>
    <x:xf numFmtId="200" fontId="0" fillId="5" borderId="1" xfId="0" applyNumberFormat="1" applyFont="1" applyFill="1" applyBorder="1" applyAlignment="1">
      <x:alignment vertical="top"/>
    </x:xf>
    <x:xf numFmtId="201" fontId="0" fillId="5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/>
    <x:xf numFmtId="201" fontId="0" fillId="0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52bbd636e0412c" /><Relationship Type="http://schemas.openxmlformats.org/officeDocument/2006/relationships/theme" Target="/xl/theme/theme1.xml" Id="R88d631b885e6491a" /><Relationship Type="http://schemas.openxmlformats.org/officeDocument/2006/relationships/sharedStrings" Target="/xl/sharedStrings.xml" Id="Reed8a1a7042b4437" /><Relationship Type="http://schemas.openxmlformats.org/officeDocument/2006/relationships/worksheet" Target="/xl/worksheets/sheet1.xml" Id="R75f11d9c5ec64fec" /><Relationship Type="http://schemas.openxmlformats.org/officeDocument/2006/relationships/worksheet" Target="/xl/worksheets/sheet2.xml" Id="R358c298747be464e" /><Relationship Type="http://schemas.openxmlformats.org/officeDocument/2006/relationships/worksheet" Target="/xl/worksheets/sheet3.xml" Id="Racdc22931ddc4e1e" /><Relationship Type="http://schemas.openxmlformats.org/officeDocument/2006/relationships/worksheet" Target="/xl/worksheets/sheet4.xml" Id="R0e5923b020a14d95" /><Relationship Type="http://schemas.openxmlformats.org/officeDocument/2006/relationships/worksheet" Target="/xl/worksheets/sheet5.xml" Id="Reebcf2b452a847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75293e5b60b4d9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Pengeluaran per Kategori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Total</c:v>
          </c:tx>
          <c:cat>
            <c:strRef>
              <c:f>'Dashboard'!$A$10:$A$14</c:f>
              <c:strCache>
                <c:ptCount val="0"/>
              </c:strCache>
            </c:strRef>
          </c:cat>
          <c:val>
            <c:numRef>
              <c:f>'Dashboard'!$B$10:$B$14</c:f>
              <c:numCache>
                <c:formatCode>[$Rp-421] 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[$Rp-421] 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5293e5b60b4d9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ExpenseDataTable" displayName="ExpenseDataTable" ref="A3:J9" headerRowCount="1" totalsRowCount="0" totalsRowShown="0">
  <x:tableColumns count="10">
    <x:tableColumn id="1" name="Tanggal"/>
    <x:tableColumn id="2" name="No. Bukti"/>
    <x:tableColumn id="3" name="Vendor/Penerima"/>
    <x:tableColumn id="4" name="Kategori"/>
    <x:tableColumn id="5" name="Keterangan"/>
    <x:tableColumn id="6" name="Metode"/>
    <x:tableColumn id="7" name="Nominal"/>
    <x:tableColumn id="8" name="Status"/>
    <x:tableColumn id="9" name="Lampiran/Referensi"/>
    <x:tableColumn id="10" name="Bula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ExpenseCategoriesTable" displayName="ExpenseCategoriesTable" ref="A3:D8" headerRowCount="1" totalsRowCount="0" totalsRowShown="0">
  <x:tableColumns count="4">
    <x:tableColumn id="1" name="Kategori"/>
    <x:tableColumn id="2" name="Metode Pembayaran"/>
    <x:tableColumn id="3" name="Status"/>
    <x:tableColumn id="4" name="Catat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3f7df487da43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131992ad8a45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9bfba614b34543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5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8" customHeight="1">
      <x:c r="A1" s="3" t="str">
        <x:v>Template Pembukuan Pengeluaran Usaha</x:v>
      </x:c>
      <x:c r="B1" s="3" t="str">
        <x:v>Template Pembukuan Pengeluaran Usaha</x:v>
      </x:c>
      <x:c r="C1" s="3" t="str">
        <x:v>Template Pembukuan Pengeluaran Usaha</x:v>
      </x:c>
      <x:c r="D1" s="3" t="str">
        <x:v>Template Pembukuan Pengeluaran Usaha</x:v>
      </x:c>
      <x:c r="E1" s="3" t="str">
        <x:v>Template Pembukuan Pengeluaran Usaha</x:v>
      </x:c>
      <x:c r="F1" s="3" t="str">
        <x:v>Template Pembukuan Pengeluaran Usaha</x:v>
      </x:c>
    </x:row>
    <x:row r="3">
      <x:c r="A3" s="5" t="str">
        <x:v>Mulai dari sini</x:v>
      </x:c>
      <x:c r="B3" s="5" t="str">
        <x:v>Mulai dari sini</x:v>
      </x:c>
      <x:c r="C3" s="5" t="str">
        <x:v>Mulai dari sini</x:v>
      </x:c>
      <x:c r="D3" s="5" t="str">
        <x:v>Mulai dari sini</x:v>
      </x:c>
      <x:c r="E3" s="5" t="str">
        <x:v>Mulai dari sini</x:v>
      </x:c>
      <x:c r="F3" s="5" t="str">
        <x:v>Mulai dari sini</x:v>
      </x:c>
    </x:row>
    <x:row r="5">
      <x:c r="A5" s="7" t="n">
        <x:v>1</x:v>
      </x:c>
      <x:c r="B5" s="8" t="str">
        <x:v>Tambahkan atau sesuaikan kategori di sheet Kategori Pengeluaran sebelum mencatat transaksi.</x:v>
      </x:c>
      <x:c r="C5" s="7"/>
      <x:c r="D5" s="7"/>
      <x:c r="E5" s="7"/>
      <x:c r="F5" s="7"/>
    </x:row>
    <x:row r="6">
      <x:c r="A6" s="7" t="n">
        <x:v>2</x:v>
      </x:c>
      <x:c r="B6" s="8" t="str">
        <x:v>Isi satu pengeluaran per baris di Data Pengeluaran dan gunakan nominal positif.</x:v>
      </x:c>
      <x:c r="C6" s="7"/>
      <x:c r="D6" s="7"/>
      <x:c r="E6" s="7"/>
      <x:c r="F6" s="7"/>
    </x:row>
    <x:row r="7">
      <x:c r="A7" s="7" t="n">
        <x:v>3</x:v>
      </x:c>
      <x:c r="B7" s="8" t="str">
        <x:v>Simpan nomor bukti atau referensi agar transaksi mudah ditelusuri kembali.</x:v>
      </x:c>
      <x:c r="C7" s="7"/>
      <x:c r="D7" s="7"/>
      <x:c r="E7" s="7"/>
      <x:c r="F7" s="7"/>
    </x:row>
    <x:row r="8">
      <x:c r="A8" s="7" t="n">
        <x:v>4</x:v>
      </x:c>
      <x:c r="B8" s="8" t="str">
        <x:v>Pilih bulan di Rekap Bulanan dan buka Dashboard untuk melihat ringkasan.</x:v>
      </x:c>
      <x:c r="C8" s="7"/>
      <x:c r="D8" s="7"/>
      <x:c r="E8" s="7"/>
      <x:c r="F8" s="7"/>
    </x:row>
    <x:row r="11">
      <x:c r="A11" s="5" t="str">
        <x:v>Batasan penggunaan</x:v>
      </x:c>
      <x:c r="B11" s="5" t="str">
        <x:v>Batasan penggunaan</x:v>
      </x:c>
      <x:c r="C11" s="5" t="str">
        <x:v>Batasan penggunaan</x:v>
      </x:c>
      <x:c r="D11" s="5" t="str">
        <x:v>Batasan penggunaan</x:v>
      </x:c>
      <x:c r="E11" s="5" t="str">
        <x:v>Batasan penggunaan</x:v>
      </x:c>
      <x:c r="F11" s="5" t="str">
        <x:v>Batasan penggunaan</x:v>
      </x:c>
    </x:row>
    <x:row r="13">
      <x:c r="A13" s="22" t="str">
        <x:v>Template ini adalah catatan operasional sederhana. Template ini bukan laporan akuntansi, laporan pajak, atau dasar untuk menentukan pengurang pajak.</x:v>
      </x:c>
      <x:c r="B13" s="23" t="str">
        <x:v>Template ini adalah catatan operasional sederhana. Template ini bukan laporan akuntansi, laporan pajak, atau dasar untuk menentukan pengurang pajak.</x:v>
      </x:c>
      <x:c r="C13" s="23" t="str">
        <x:v>Template ini adalah catatan operasional sederhana. Template ini bukan laporan akuntansi, laporan pajak, atau dasar untuk menentukan pengurang pajak.</x:v>
      </x:c>
      <x:c r="D13" s="23" t="str">
        <x:v>Template ini adalah catatan operasional sederhana. Template ini bukan laporan akuntansi, laporan pajak, atau dasar untuk menentukan pengurang pajak.</x:v>
      </x:c>
      <x:c r="E13" s="23" t="str">
        <x:v>Template ini adalah catatan operasional sederhana. Template ini bukan laporan akuntansi, laporan pajak, atau dasar untuk menentukan pengurang pajak.</x:v>
      </x:c>
      <x:c r="F13" s="24" t="str">
        <x:v>Template ini adalah catatan operasional sederhana. Template ini bukan laporan akuntansi, laporan pajak, atau dasar untuk menentukan pengurang pajak.</x:v>
      </x:c>
    </x:row>
    <x:row r="14">
      <x:c r="A14" s="25" t="str">
        <x:v>Template ini adalah catatan operasional sederhana. Template ini bukan laporan akuntansi, laporan pajak, atau dasar untuk menentukan pengurang pajak.</x:v>
      </x:c>
      <x:c r="B14" s="26" t="str">
        <x:v>Template ini adalah catatan operasional sederhana. Template ini bukan laporan akuntansi, laporan pajak, atau dasar untuk menentukan pengurang pajak.</x:v>
      </x:c>
      <x:c r="C14" s="26" t="str">
        <x:v>Template ini adalah catatan operasional sederhana. Template ini bukan laporan akuntansi, laporan pajak, atau dasar untuk menentukan pengurang pajak.</x:v>
      </x:c>
      <x:c r="D14" s="26" t="str">
        <x:v>Template ini adalah catatan operasional sederhana. Template ini bukan laporan akuntansi, laporan pajak, atau dasar untuk menentukan pengurang pajak.</x:v>
      </x:c>
      <x:c r="E14" s="26" t="str">
        <x:v>Template ini adalah catatan operasional sederhana. Template ini bukan laporan akuntansi, laporan pajak, atau dasar untuk menentukan pengurang pajak.</x:v>
      </x:c>
      <x:c r="F14" s="27" t="str">
        <x:v>Template ini adalah catatan operasional sederhana. Template ini bukan laporan akuntansi, laporan pajak, atau dasar untuk menentukan pengurang pajak.</x:v>
      </x:c>
    </x:row>
  </x:sheetData>
  <x:mergeCells>
    <x:mergeCell ref="A1:F1"/>
    <x:mergeCell ref="A3:F3"/>
    <x:mergeCell ref="B5:F5"/>
    <x:mergeCell ref="B6:F6"/>
    <x:mergeCell ref="B7:F7"/>
    <x:mergeCell ref="B8:F8"/>
    <x:mergeCell ref="A11:F11"/>
    <x:mergeCell ref="A13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8" customHeight="1">
      <x:c r="A1" s="3" t="str">
        <x:v>DATA PENGELUARAN USAHA</x:v>
      </x:c>
      <x:c r="B1" s="3" t="str">
        <x:v>DATA PENGELUARAN USAHA</x:v>
      </x:c>
      <x:c r="C1" s="3" t="str">
        <x:v>DATA PENGELUARAN USAHA</x:v>
      </x:c>
      <x:c r="D1" s="3" t="str">
        <x:v>DATA PENGELUARAN USAHA</x:v>
      </x:c>
      <x:c r="E1" s="3" t="str">
        <x:v>DATA PENGELUARAN USAHA</x:v>
      </x:c>
      <x:c r="F1" s="3" t="str">
        <x:v>DATA PENGELUARAN USAHA</x:v>
      </x:c>
      <x:c r="G1" s="3" t="str">
        <x:v>DATA PENGELUARAN USAHA</x:v>
      </x:c>
      <x:c r="H1" s="3" t="str">
        <x:v>DATA PENGELUARAN USAHA</x:v>
      </x:c>
      <x:c r="I1" s="3" t="str">
        <x:v>DATA PENGELUARAN USAHA</x:v>
      </x:c>
      <x:c r="J1" s="3" t="str">
        <x:v>DATA PENGELUARAN USAHA</x:v>
      </x:c>
    </x:row>
    <x:row r="3">
      <x:c r="A3" s="31" t="str">
        <x:v>Tanggal</x:v>
      </x:c>
      <x:c r="B3" s="31" t="str">
        <x:v>No. Bukti</x:v>
      </x:c>
      <x:c r="C3" s="31" t="str">
        <x:v>Vendor/Penerima</x:v>
      </x:c>
      <x:c r="D3" s="31" t="str">
        <x:v>Kategori</x:v>
      </x:c>
      <x:c r="E3" s="31" t="str">
        <x:v>Keterangan</x:v>
      </x:c>
      <x:c r="F3" s="31" t="str">
        <x:v>Metode</x:v>
      </x:c>
      <x:c r="G3" s="31" t="str">
        <x:v>Nominal</x:v>
      </x:c>
      <x:c r="H3" s="31" t="str">
        <x:v>Status</x:v>
      </x:c>
      <x:c r="I3" s="31" t="str">
        <x:v>Lampiran/Referensi</x:v>
      </x:c>
      <x:c r="J3" s="31" t="str">
        <x:v>Bulan</x:v>
      </x:c>
    </x:row>
    <x:row r="4">
      <x:c r="A4" s="41" t="n">
        <x:v>46205</x:v>
      </x:c>
      <x:c r="B4" s="34" t="str">
        <x:v>BKT-001</x:v>
      </x:c>
      <x:c r="C4" s="34" t="str">
        <x:v>Pasar Cempaka</x:v>
      </x:c>
      <x:c r="D4" s="34" t="str">
        <x:v>Bahan Baku</x:v>
      </x:c>
      <x:c r="E4" s="34" t="str">
        <x:v>Belanja bahan mingguan</x:v>
      </x:c>
      <x:c r="F4" s="34" t="str">
        <x:v>Transfer</x:v>
      </x:c>
      <x:c r="G4" s="42" t="n">
        <x:v>125000</x:v>
      </x:c>
      <x:c r="H4" s="34" t="str">
        <x:v>Dibayar</x:v>
      </x:c>
      <x:c r="I4" s="34" t="str">
        <x:v>Foto struk BKT-001</x:v>
      </x:c>
      <x:c r="J4" s="34" t="str">
        <x:f>IF(A4="","",TEXT(A4,"yyyy-mm"))</x:f>
        <x:v>2026-07</x:v>
      </x:c>
    </x:row>
    <x:row r="5">
      <x:c r="A5" s="41" t="n">
        <x:v>46207</x:v>
      </x:c>
      <x:c r="B5" s="34" t="str">
        <x:v>BKT-002</x:v>
      </x:c>
      <x:c r="C5" s="34" t="str">
        <x:v>Kemasan Kita</x:v>
      </x:c>
      <x:c r="D5" s="34" t="str">
        <x:v>Operasional</x:v>
      </x:c>
      <x:c r="E5" s="34" t="str">
        <x:v>Kotak makanan</x:v>
      </x:c>
      <x:c r="F5" s="34" t="str">
        <x:v>Tunai</x:v>
      </x:c>
      <x:c r="G5" s="42" t="n">
        <x:v>45000</x:v>
      </x:c>
      <x:c r="H5" s="34" t="str">
        <x:v>Dibayar</x:v>
      </x:c>
      <x:c r="I5" s="34" t="str">
        <x:v>BKT-002</x:v>
      </x:c>
      <x:c r="J5" s="34" t="str">
        <x:f>IF(A5="","",TEXT(A5,"yyyy-mm"))</x:f>
        <x:v>2026-07</x:v>
      </x:c>
    </x:row>
    <x:row r="6">
      <x:c r="A6" s="41" t="n">
        <x:v>46209</x:v>
      </x:c>
      <x:c r="B6" s="34" t="str">
        <x:v>BKT-003</x:v>
      </x:c>
      <x:c r="C6" s="34" t="str">
        <x:v>Promosi RT</x:v>
      </x:c>
      <x:c r="D6" s="34" t="str">
        <x:v>Pemasaran</x:v>
      </x:c>
      <x:c r="E6" s="34" t="str">
        <x:v>Poster lingkungan</x:v>
      </x:c>
      <x:c r="F6" s="34" t="str">
        <x:v>QRIS</x:v>
      </x:c>
      <x:c r="G6" s="42" t="n">
        <x:v>75000</x:v>
      </x:c>
      <x:c r="H6" s="34" t="str">
        <x:v>Dibayar</x:v>
      </x:c>
      <x:c r="I6" s="34" t="str">
        <x:v>BKT-003</x:v>
      </x:c>
      <x:c r="J6" s="34" t="str">
        <x:f>IF(A6="","",TEXT(A6,"yyyy-mm"))</x:f>
        <x:v>2026-07</x:v>
      </x:c>
    </x:row>
    <x:row r="7">
      <x:c r="A7" s="41" t="n">
        <x:v>46211</x:v>
      </x:c>
      <x:c r="B7" s="34" t="str">
        <x:v>BKT-004</x:v>
      </x:c>
      <x:c r="C7" s="34" t="str">
        <x:v>Provider Seluler</x:v>
      </x:c>
      <x:c r="D7" s="34" t="str">
        <x:v>Operasional</x:v>
      </x:c>
      <x:c r="E7" s="34" t="str">
        <x:v>Pulsa usaha</x:v>
      </x:c>
      <x:c r="F7" s="34" t="str">
        <x:v>QRIS</x:v>
      </x:c>
      <x:c r="G7" s="42" t="n">
        <x:v>30000</x:v>
      </x:c>
      <x:c r="H7" s="34" t="str">
        <x:v>Dibayar</x:v>
      </x:c>
      <x:c r="I7" s="34" t="str">
        <x:v>BKT-004</x:v>
      </x:c>
      <x:c r="J7" s="34" t="str">
        <x:f>IF(A7="","",TEXT(A7,"yyyy-mm"))</x:f>
        <x:v>2026-07</x:v>
      </x:c>
    </x:row>
    <x:row r="8">
      <x:c r="A8" s="41" t="n">
        <x:v>46213</x:v>
      </x:c>
      <x:c r="B8" s="34" t="str">
        <x:v>BKT-005</x:v>
      </x:c>
      <x:c r="C8" s="34" t="str">
        <x:v>Kurir Lokal</x:v>
      </x:c>
      <x:c r="D8" s="34" t="str">
        <x:v>Transportasi</x:v>
      </x:c>
      <x:c r="E8" s="34" t="str">
        <x:v>Antar bahan</x:v>
      </x:c>
      <x:c r="F8" s="34" t="str">
        <x:v>Transfer</x:v>
      </x:c>
      <x:c r="G8" s="42" t="n">
        <x:v>40000</x:v>
      </x:c>
      <x:c r="H8" s="34" t="str">
        <x:v>Menunggu</x:v>
      </x:c>
      <x:c r="I8" s="34" t="str">
        <x:v>BKT-005</x:v>
      </x:c>
      <x:c r="J8" s="34" t="str">
        <x:f>IF(A8="","",TEXT(A8,"yyyy-mm"))</x:f>
        <x:v>2026-07</x:v>
      </x:c>
    </x:row>
    <x:row r="9">
      <x:c r="A9" s="41"/>
      <x:c r="B9" s="34" t="str"/>
      <x:c r="C9" s="34" t="str"/>
      <x:c r="D9" s="34" t="str"/>
      <x:c r="E9" s="34" t="str"/>
      <x:c r="F9" s="34" t="str"/>
      <x:c r="G9" s="42"/>
      <x:c r="H9" s="34" t="str"/>
      <x:c r="I9" s="34" t="str"/>
      <x:c r="J9" s="34" t="str">
        <x:f>IF(A9="","",TEXT(A9,"yyyy-mm"))</x:f>
      </x:c>
    </x:row>
  </x:sheetData>
  <x:mergeCells>
    <x:mergeCell ref="A1:J1"/>
  </x:mergeCells>
  <x:dataValidations count="4">
    <x:dataValidation type="list" sqref="D4:D200">
      <x:formula1>'Kategori Pengeluaran'!$A$4:$A$8</x:formula1>
    </x:dataValidation>
    <x:dataValidation type="list" sqref="F4:F200">
      <x:formula1>'Kategori Pengeluaran'!$B$4:$B$6</x:formula1>
    </x:dataValidation>
    <x:dataValidation type="list" sqref="H4:H200">
      <x:formula1>'Kategori Pengeluaran'!$C$4:$C$5</x:formula1>
    </x:dataValidation>
    <x:dataValidation type="decimal" operator="greaterThanOrEqual" sqref="G4:G200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3f7df487da43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0" hidden="0" customWidth="1"/>
  </x:cols>
  <x:sheetData>
    <x:row r="1" ht="28" customHeight="1">
      <x:c r="A1" s="3" t="str">
        <x:v>KATEGORI DAN REFERENSI</x:v>
      </x:c>
      <x:c r="B1" s="3" t="str">
        <x:v>KATEGORI DAN REFERENSI</x:v>
      </x:c>
      <x:c r="C1" s="3" t="str">
        <x:v>KATEGORI DAN REFERENSI</x:v>
      </x:c>
      <x:c r="D1" s="3" t="str">
        <x:v>KATEGORI DAN REFERENSI</x:v>
      </x:c>
    </x:row>
    <x:row r="3">
      <x:c r="A3" s="31" t="str">
        <x:v>Kategori</x:v>
      </x:c>
      <x:c r="B3" s="31" t="str">
        <x:v>Metode Pembayaran</x:v>
      </x:c>
      <x:c r="C3" s="31" t="str">
        <x:v>Status</x:v>
      </x:c>
      <x:c r="D3" s="31" t="str">
        <x:v>Catatan</x:v>
      </x:c>
    </x:row>
    <x:row r="4">
      <x:c r="A4" s="34" t="str">
        <x:v>Bahan Baku</x:v>
      </x:c>
      <x:c r="B4" s="34" t="str">
        <x:v>Tunai</x:v>
      </x:c>
      <x:c r="C4" s="34" t="str">
        <x:v>Dibayar</x:v>
      </x:c>
      <x:c r="D4" s="34" t="str">
        <x:v>Ubah daftar ini sesuai kebutuhan usaha</x:v>
      </x:c>
    </x:row>
    <x:row r="5">
      <x:c r="A5" s="34" t="str">
        <x:v>Operasional</x:v>
      </x:c>
      <x:c r="B5" s="34" t="str">
        <x:v>Transfer</x:v>
      </x:c>
      <x:c r="C5" s="34" t="str">
        <x:v>Menunggu</x:v>
      </x:c>
      <x:c r="D5" s="34" t="str"/>
    </x:row>
    <x:row r="6">
      <x:c r="A6" s="34" t="str">
        <x:v>Pemasaran</x:v>
      </x:c>
      <x:c r="B6" s="34" t="str">
        <x:v>QRIS</x:v>
      </x:c>
      <x:c r="C6" s="34" t="str"/>
      <x:c r="D6" s="34" t="str"/>
    </x:row>
    <x:row r="7">
      <x:c r="A7" s="34" t="str">
        <x:v>Transportasi</x:v>
      </x:c>
      <x:c r="B7" s="34" t="str"/>
      <x:c r="C7" s="34" t="str"/>
      <x:c r="D7" s="34" t="str"/>
    </x:row>
    <x:row r="8">
      <x:c r="A8" s="34" t="str">
        <x:v>Lainnya</x:v>
      </x:c>
      <x:c r="B8" s="34" t="str"/>
      <x:c r="C8" s="34" t="str"/>
      <x:c r="D8" s="34" t="str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b8131992ad8a45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8" customHeight="1">
      <x:c r="A1" s="3" t="str">
        <x:v>REKAP BULANAN PENGELUARAN</x:v>
      </x:c>
      <x:c r="B1" s="3" t="str">
        <x:v>REKAP BULANAN PENGELUARAN</x:v>
      </x:c>
      <x:c r="C1" s="3" t="str">
        <x:v>REKAP BULANAN PENGELUARAN</x:v>
      </x:c>
      <x:c r="D1" s="3" t="str">
        <x:v>REKAP BULANAN PENGELUARAN</x:v>
      </x:c>
      <x:c r="E1" s="3" t="str">
        <x:v>REKAP BULANAN PENGELUARAN</x:v>
      </x:c>
      <x:c r="F1" s="3" t="str">
        <x:v>REKAP BULANAN PENGELUARAN</x:v>
      </x:c>
      <x:c r="G1" s="3" t="str">
        <x:v>REKAP BULANAN PENGELUARAN</x:v>
      </x:c>
      <x:c r="H1" s="3" t="str">
        <x:v>REKAP BULANAN PENGELUARAN</x:v>
      </x:c>
    </x:row>
    <x:row r="3">
      <x:c r="A3" s="7" t="str">
        <x:v>Bulan</x:v>
      </x:c>
      <x:c r="B3" s="7" t="str">
        <x:v>2026-07</x:v>
      </x:c>
    </x:row>
    <x:row r="4">
      <x:c r="A4" s="7" t="str">
        <x:v>Total Pengeluaran</x:v>
      </x:c>
      <x:c r="B4" s="44" t="n">
        <x:f>SUMIFS('Data Pengeluaran'!$G$4:$G$200,'Data Pengeluaran'!$J$4:$J$200,B3)</x:f>
        <x:v>315000</x:v>
      </x:c>
    </x:row>
    <x:row r="5">
      <x:c r="A5" s="7" t="str">
        <x:v>Jumlah Bukti</x:v>
      </x:c>
      <x:c r="B5" s="7" t="n">
        <x:f>COUNTIFS('Data Pengeluaran'!$J$4:$J$200,B3,'Data Pengeluaran'!$A$4:$A$200,"&lt;&gt;")</x:f>
        <x:v>5</x:v>
      </x:c>
    </x:row>
    <x:row r="8">
      <x:c r="A8" s="31" t="str">
        <x:v>Kategori</x:v>
      </x:c>
      <x:c r="B8" s="31" t="str">
        <x:v>Total</x:v>
      </x:c>
    </x:row>
    <x:row r="9">
      <x:c r="A9" s="7" t="str">
        <x:v>Bahan Baku</x:v>
      </x:c>
      <x:c r="B9" s="44" t="n">
        <x:f>SUMIFS('Data Pengeluaran'!$G$4:$G$200,'Data Pengeluaran'!$D$4:$D$200,A9,'Data Pengeluaran'!$J$4:$J$200,$B$3)</x:f>
        <x:v>125000</x:v>
      </x:c>
    </x:row>
    <x:row r="10">
      <x:c r="A10" s="7" t="str">
        <x:v>Operasional</x:v>
      </x:c>
      <x:c r="B10" s="44" t="n">
        <x:f>SUMIFS('Data Pengeluaran'!$G$4:$G$200,'Data Pengeluaran'!$D$4:$D$200,A10,'Data Pengeluaran'!$J$4:$J$200,$B$3)</x:f>
        <x:v>75000</x:v>
      </x:c>
    </x:row>
    <x:row r="11">
      <x:c r="A11" s="7" t="str">
        <x:v>Pemasaran</x:v>
      </x:c>
      <x:c r="B11" s="44" t="n">
        <x:f>SUMIFS('Data Pengeluaran'!$G$4:$G$200,'Data Pengeluaran'!$D$4:$D$200,A11,'Data Pengeluaran'!$J$4:$J$200,$B$3)</x:f>
        <x:v>75000</x:v>
      </x:c>
    </x:row>
    <x:row r="12">
      <x:c r="A12" s="7" t="str">
        <x:v>Transportasi</x:v>
      </x:c>
      <x:c r="B12" s="44" t="n">
        <x:f>SUMIFS('Data Pengeluaran'!$G$4:$G$200,'Data Pengeluaran'!$D$4:$D$200,A12,'Data Pengeluaran'!$J$4:$J$200,$B$3)</x:f>
        <x:v>40000</x:v>
      </x:c>
    </x:row>
    <x:row r="13">
      <x:c r="A13" s="7" t="str">
        <x:v>Lainnya</x:v>
      </x:c>
      <x:c r="B13" s="44" t="n">
        <x:f>SUMIFS('Data Pengeluaran'!$G$4:$G$200,'Data Pengeluaran'!$D$4:$D$200,A13,'Data Pengeluaran'!$J$4:$J$200,$B$3)</x:f>
        <x:v>0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8" customHeight="1">
      <x:c r="A1" s="3" t="str">
        <x:v>DASHBOARD PENGELUARAN USAHA</x:v>
      </x:c>
      <x:c r="B1" s="3" t="str">
        <x:v>DASHBOARD PENGELUARAN USAHA</x:v>
      </x:c>
      <x:c r="C1" s="3" t="str">
        <x:v>DASHBOARD PENGELUARAN USAHA</x:v>
      </x:c>
      <x:c r="D1" s="3" t="str">
        <x:v>DASHBOARD PENGELUARAN USAHA</x:v>
      </x:c>
      <x:c r="E1" s="3" t="str">
        <x:v>DASHBOARD PENGELUARAN USAHA</x:v>
      </x:c>
      <x:c r="F1" s="3" t="str">
        <x:v>DASHBOARD PENGELUARAN USAHA</x:v>
      </x:c>
      <x:c r="G1" s="3" t="str">
        <x:v>DASHBOARD PENGELUARAN USAHA</x:v>
      </x:c>
      <x:c r="H1" s="3" t="str">
        <x:v>DASHBOARD PENGELUARAN USAHA</x:v>
      </x:c>
      <x:c r="I1" s="3" t="str">
        <x:v>DASHBOARD PENGELUARAN USAHA</x:v>
      </x:c>
      <x:c r="J1" s="3" t="str">
        <x:v>DASHBOARD PENGELUARAN USAHA</x:v>
      </x:c>
    </x:row>
    <x:row r="3">
      <x:c r="A3" s="7" t="str">
        <x:v>Bulan Aktif</x:v>
      </x:c>
      <x:c r="B3" s="7" t="str">
        <x:f>'Rekap Bulanan'!B3</x:f>
        <x:v>2026-07</x:v>
      </x:c>
    </x:row>
    <x:row r="4">
      <x:c r="A4" s="7" t="str">
        <x:v>Total Pengeluaran</x:v>
      </x:c>
      <x:c r="B4" s="44" t="n">
        <x:f>'Rekap Bulanan'!B4</x:f>
        <x:v>315000</x:v>
      </x:c>
    </x:row>
    <x:row r="5">
      <x:c r="A5" s="7" t="str">
        <x:v>Jumlah Bukti</x:v>
      </x:c>
      <x:c r="B5" s="7" t="n">
        <x:f>'Rekap Bulanan'!B5</x:f>
        <x:v>5</x:v>
      </x:c>
    </x:row>
    <x:row r="6">
      <x:c r="A6" s="7" t="str">
        <x:v>Kategori Terbesar</x:v>
      </x:c>
      <x:c r="B6" s="7" t="str">
        <x:f>INDEX('Rekap Bulanan'!$A$9:$A$13,MATCH(MAX('Rekap Bulanan'!$B$9:$B$13),'Rekap Bulanan'!$B$9:$B$13,0))</x:f>
        <x:v>Bahan Baku</x:v>
      </x:c>
    </x:row>
    <x:row r="9">
      <x:c r="A9" s="31" t="str">
        <x:f>'Rekap Bulanan'!A8</x:f>
        <x:v>Kategori</x:v>
      </x:c>
      <x:c r="B9" s="31" t="str">
        <x:f>'Rekap Bulanan'!B8</x:f>
        <x:v>Total</x:v>
      </x:c>
    </x:row>
    <x:row r="10">
      <x:c r="A10" t="str">
        <x:f>'Rekap Bulanan'!A9</x:f>
        <x:v>Bahan Baku</x:v>
      </x:c>
      <x:c r="B10" s="36" t="n">
        <x:f>'Rekap Bulanan'!B9</x:f>
        <x:v>125000</x:v>
      </x:c>
    </x:row>
    <x:row r="11">
      <x:c r="A11" t="str">
        <x:f>'Rekap Bulanan'!A10</x:f>
        <x:v>Operasional</x:v>
      </x:c>
      <x:c r="B11" s="36" t="n">
        <x:f>'Rekap Bulanan'!B10</x:f>
        <x:v>75000</x:v>
      </x:c>
    </x:row>
    <x:row r="12">
      <x:c r="A12" t="str">
        <x:f>'Rekap Bulanan'!A11</x:f>
        <x:v>Pemasaran</x:v>
      </x:c>
      <x:c r="B12" s="36" t="n">
        <x:f>'Rekap Bulanan'!B11</x:f>
        <x:v>75000</x:v>
      </x:c>
    </x:row>
    <x:row r="13">
      <x:c r="A13" t="str">
        <x:f>'Rekap Bulanan'!A12</x:f>
        <x:v>Transportasi</x:v>
      </x:c>
      <x:c r="B13" s="36" t="n">
        <x:f>'Rekap Bulanan'!B12</x:f>
        <x:v>40000</x:v>
      </x:c>
    </x:row>
    <x:row r="14">
      <x:c r="A14" t="str">
        <x:f>'Rekap Bulanan'!A13</x:f>
        <x:v>Lainnya</x:v>
      </x:c>
      <x:c r="B14" s="36" t="n">
        <x:f>'Rekap Bulanan'!B13</x:f>
        <x:v>0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9bfba614b34543fd"/>
</x:worksheet>
</file>