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tang" sheetId="1" state="visible" r:id="rId3"/>
    <sheet name="Cara Pakai" sheetId="2" state="visible" r:id="rId4"/>
    <sheet name="Data Pelangg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<sst xmlns="http://schemas.openxmlformats.org/spreadsheetml/2006/main" count="141" uniqueCount="110">
  <si>
    <t xml:space="preserve">ExcelGratis.id</t>
  </si>
  <si>
    <t xml:space="preserve">Template Excel gratis untuk kebutuhan praktis sehari-hari — UMKM, keuangan rumah tangga, sekolah, dan lainnya.</t>
  </si>
  <si>
    <t xml:space="preserve">Suka template ini?</t>
  </si>
  <si>
    <t xml:space="preserve">Ada 20+ template Excel gratis lainnya di ExcelGratis.id — tanpa daftar akun, tanpa bayar, tinggal download dan pakai.</t>
  </si>
  <si>
    <t xml:space="preserve">Kunjungi excelgratis.my.id</t>
  </si>
  <si>
    <t xml:space="preserve">Kategori template yang tersedia:</t>
  </si>
  <si>
    <t xml:space="preserve">• Keuangan Pribadi</t>
  </si>
  <si>
    <t xml:space="preserve">• Bisnis &amp; UMKM</t>
  </si>
  <si>
    <t xml:space="preserve">• Produktivitas Kerja</t>
  </si>
  <si>
    <t xml:space="preserve">• Pendidikan</t>
  </si>
  <si>
    <t xml:space="preserve">• Rumah Tangga &amp; Acara</t>
  </si>
  <si>
    <t xml:space="preserve">Semua template bisa dibuka langsung di Microsoft Excel maupun Google Sheets — tidak perlu aplikasi tambahan.</t>
  </si>
  <si>
    <t xml:space="preserve">Cara Pakai Template Follow-Up Pelanggan</t>
  </si>
  <si>
    <t xml:space="preserve">1. Buka sheet "Data Pelanggan" — isi data pelanggan/prospek di kolom berwarna biru (Nama Pelanggan, Kontak, Kebutuhan, Tanggal Kontak Terakhir, Status, Prioritas, Jadwal Follow-Up Berikutnya, Catatan).</t>
  </si>
  <si>
    <t xml:space="preserve">2. Gunakan dropdown yang sudah disediakan untuk kolom Status Follow-Up dan Prioritas — supaya data tetap konsisten dan mudah direkap.</t>
  </si>
  <si>
    <t xml:space="preserve">3. Kolom "Hari Sejak Kontak Terakhir" dan "Status Keterlambatan" akan terisi otomatis, tidak perlu diketik manual.</t>
  </si>
  <si>
    <t xml:space="preserve">4. Buka sheet "Ringkasan" untuk melihat rekap jumlah pelanggan per status, jumlah follow-up yang terlambat, dan grafik distribusinya.</t>
  </si>
  <si>
    <t xml:space="preserve">Daftar sheet dalam file ini:</t>
  </si>
  <si>
    <t xml:space="preserve">• Tentang — info singkat tentang ExcelGratis.id</t>
  </si>
  <si>
    <t xml:space="preserve">• Cara Pakai — halaman ini</t>
  </si>
  <si>
    <t xml:space="preserve">• Data Pelanggan — tempat mengisi data &amp; log follow-up</t>
  </si>
  <si>
    <t xml:space="preserve">• Ringkasan — dashboard otomatis dari Data Pelanggan</t>
  </si>
  <si>
    <t xml:space="preserve">Template gratis ini dibuat oleh ExcelGratis.id — cari template gratis lainnya di excelgratis.my.id</t>
  </si>
  <si>
    <t xml:space="preserve">Data Pelanggan &amp; Log Follow-Up</t>
  </si>
  <si>
    <t xml:space="preserve">Isi kolom berwarna biru. Kolom hitam terisi otomatis, jangan diubah manual.</t>
  </si>
  <si>
    <t xml:space="preserve">No</t>
  </si>
  <si>
    <t xml:space="preserve">Nama Pelanggan</t>
  </si>
  <si>
    <t xml:space="preserve">Kontak (HP/Email)</t>
  </si>
  <si>
    <t xml:space="preserve">Kebutuhan/Minat</t>
  </si>
  <si>
    <t xml:space="preserve">Tanggal Kontak Terakhir</t>
  </si>
  <si>
    <t xml:space="preserve">Status Follow-Up</t>
  </si>
  <si>
    <t xml:space="preserve">Prioritas</t>
  </si>
  <si>
    <t xml:space="preserve">Jadwal Follow-Up Berikutnya</t>
  </si>
  <si>
    <t xml:space="preserve">Catatan</t>
  </si>
  <si>
    <t xml:space="preserve">Hari Sejak Kontak Terakhir</t>
  </si>
  <si>
    <t xml:space="preserve">Status Keterlambatan</t>
  </si>
  <si>
    <t xml:space="preserve">Budi Santoso - Toko Elektronik Jaya</t>
  </si>
  <si>
    <t xml:space="preserve">0812-3456-7890</t>
  </si>
  <si>
    <t xml:space="preserve">Butuh penawaran harga grosir kabel listrik</t>
  </si>
  <si>
    <t xml:space="preserve">Menunggu Respon</t>
  </si>
  <si>
    <t xml:space="preserve">Tinggi</t>
  </si>
  <si>
    <t xml:space="preserve">Sudah kirim brosur harga</t>
  </si>
  <si>
    <t xml:space="preserve">Siti Aminah - Warung Berkah</t>
  </si>
  <si>
    <t xml:space="preserve">0813-2223-4455</t>
  </si>
  <si>
    <t xml:space="preserve">Tertarik paket sembako langganan bulanan</t>
  </si>
  <si>
    <t xml:space="preserve">Sudah Dihubungi</t>
  </si>
  <si>
    <t xml:space="preserve">Sedang</t>
  </si>
  <si>
    <t xml:space="preserve">Nunggu konfirmasi budget</t>
  </si>
  <si>
    <t xml:space="preserve">Andi Wijaya - CV Mitra Bangunan</t>
  </si>
  <si>
    <t xml:space="preserve">0811-9988-7766</t>
  </si>
  <si>
    <t xml:space="preserve">Follow up penawaran semen curah</t>
  </si>
  <si>
    <t xml:space="preserve">Belum Dihubungi</t>
  </si>
  <si>
    <t xml:space="preserve">Prospek besar, prioritaskan</t>
  </si>
  <si>
    <t xml:space="preserve">Dewi Lestari - Boutique Dewi</t>
  </si>
  <si>
    <t xml:space="preserve">0857-1122-3344</t>
  </si>
  <si>
    <t xml:space="preserve">Tanya stok baju grosir lebaran</t>
  </si>
  <si>
    <t xml:space="preserve">Deal</t>
  </si>
  <si>
    <t xml:space="preserve">Sudah transfer DP</t>
  </si>
  <si>
    <t xml:space="preserve">Rudi Hartono - PT Sumber Rejeki</t>
  </si>
  <si>
    <t xml:space="preserve">0878-5566-7788</t>
  </si>
  <si>
    <t xml:space="preserve">Minta demo produk software kasir</t>
  </si>
  <si>
    <t xml:space="preserve">Jadwalkan demo online</t>
  </si>
  <si>
    <t xml:space="preserve">Nur Hidayah - Salon Cantik</t>
  </si>
  <si>
    <t xml:space="preserve">0821-3344-5566</t>
  </si>
  <si>
    <t xml:space="preserve">Tanya paket produk skincare grosir</t>
  </si>
  <si>
    <t xml:space="preserve">Batal</t>
  </si>
  <si>
    <t xml:space="preserve">Rendah</t>
  </si>
  <si>
    <t xml:space="preserve">Sudah pakai supplier lain</t>
  </si>
  <si>
    <t xml:space="preserve">Agus Setiawan - Bengkel Motor Jaya</t>
  </si>
  <si>
    <t xml:space="preserve">0813-7788-9900</t>
  </si>
  <si>
    <t xml:space="preserve">Minat spare part motor bulanan</t>
  </si>
  <si>
    <t xml:space="preserve">Kirim katalog spare part</t>
  </si>
  <si>
    <t xml:space="preserve">Rina Marlina - Catering Rina</t>
  </si>
  <si>
    <t xml:space="preserve">0812-4455-6677</t>
  </si>
  <si>
    <t xml:space="preserve">Follow up kontrak catering kantor</t>
  </si>
  <si>
    <t xml:space="preserve">Tunggu keputusan owner</t>
  </si>
  <si>
    <t xml:space="preserve">Fajar Nugroho - Toko Bangunan Makmur</t>
  </si>
  <si>
    <t xml:space="preserve">0857-9988-1122</t>
  </si>
  <si>
    <t xml:space="preserve">Nego harga cat tembok partai besar</t>
  </si>
  <si>
    <t xml:space="preserve">Yuni Kartika - Butik Yuni</t>
  </si>
  <si>
    <t xml:space="preserve">0878-2233-4455</t>
  </si>
  <si>
    <t xml:space="preserve">Tanya produk baru koleksi 2026</t>
  </si>
  <si>
    <t xml:space="preserve">Kirim lookbook produk</t>
  </si>
  <si>
    <t xml:space="preserve">Hendra Gunawan - PT Cipta Karya</t>
  </si>
  <si>
    <t xml:space="preserve">0811-5566-7788</t>
  </si>
  <si>
    <t xml:space="preserve">Follow up penawaran jasa renovasi</t>
  </si>
  <si>
    <t xml:space="preserve">Perlu telepon ulang</t>
  </si>
  <si>
    <t xml:space="preserve">Wulan Sari - Toko Kue Wulan</t>
  </si>
  <si>
    <t xml:space="preserve">0813-1122-3344</t>
  </si>
  <si>
    <t xml:space="preserve">Tanya paket kue untuk event</t>
  </si>
  <si>
    <t xml:space="preserve">Bambang Prasetyo - CV Sinar Abadi</t>
  </si>
  <si>
    <t xml:space="preserve">0821-6677-8899</t>
  </si>
  <si>
    <t xml:space="preserve">Minat kerjasama distribusi</t>
  </si>
  <si>
    <t xml:space="preserve">Kontrak sudah ditandatangani</t>
  </si>
  <si>
    <t xml:space="preserve">Lina Marlina - Apotek Sehat</t>
  </si>
  <si>
    <t xml:space="preserve">0857-3344-5566</t>
  </si>
  <si>
    <t xml:space="preserve">Follow up stok obat generik</t>
  </si>
  <si>
    <t xml:space="preserve">Cek ketersediaan stok</t>
  </si>
  <si>
    <t xml:space="preserve">Tono Sugiarto - Warnet Tono</t>
  </si>
  <si>
    <t xml:space="preserve">0878-9900-1122</t>
  </si>
  <si>
    <t xml:space="preserve">Tanya paket internet bisnis</t>
  </si>
  <si>
    <t xml:space="preserve">Sudah pindah ke provider lain</t>
  </si>
  <si>
    <t xml:space="preserve">Ringkasan / Dashboard Follow-Up Pelanggan</t>
  </si>
  <si>
    <t xml:space="preserve">Diperbarui otomatis mengikuti sheet Data Pelanggan.</t>
  </si>
  <si>
    <t xml:space="preserve">Ringkasan Angka</t>
  </si>
  <si>
    <t xml:space="preserve">Distribusi Status</t>
  </si>
  <si>
    <t xml:space="preserve">Total Pelanggan/Prospek</t>
  </si>
  <si>
    <t xml:space="preserve">Deal (Berhasil)</t>
  </si>
  <si>
    <t xml:space="preserve">Follow-Up Terlambat</t>
  </si>
  <si>
    <t xml:space="preserve">Perlu Follow-Up 7 Hari ke Depan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</si>
</sst>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8"/>
      <name val="Arial"/>
      <family val="0"/>
      <charset val="1"/>
    </font>
    <font>
      <sz val="11"/>
      <color rgb="FF40404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Distribusi Status Follow-Up Pelanggan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Ringkasan!$D$5:$D$9</c:f>
              <c:strCache>
                <c:ptCount val="5"/>
                <c:pt idx="0">
                  <c:v>Belum Dihubungi</c:v>
                </c:pt>
                <c:pt idx="1">
                  <c:v>Sudah Dihubungi</c:v>
                </c:pt>
                <c:pt idx="2">
                  <c:v>Menunggu Respon</c:v>
                </c:pt>
                <c:pt idx="3">
                  <c:v>Deal</c:v>
                </c:pt>
                <c:pt idx="4">
                  <c:v>Batal</c:v>
                </c:pt>
              </c:strCache>
            </c:strRef>
          </c:cat>
          <c:val>
            <c:numRef>
              <c:f>Ringkasan!$E$5:$E$9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176040</xdr:rowOff>
    </xdr:from>
    <xdr:to>
      <xdr:col>8</xdr:col>
      <xdr:colOff>88560</xdr:colOff>
      <xdr:row>25</xdr:row>
      <xdr:rowOff>7560</xdr:rowOff>
    </xdr:to>
    <xdr:graphicFrame>
      <xdr:nvGraphicFramePr>
        <xdr:cNvPr id="0" name="Chart 1"/>
        <xdr:cNvGraphicFramePr/>
      </xdr:nvGraphicFramePr>
      <xdr:xfrm>
        <a:off x="3453840" y="190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Pelanggan" displayName="DataPelanggan" ref="A3:K18" headerRowCount="1" totalsRowCount="0" totalsRowShown="0">
  <autoFilter ref="A3:K18"/>
  <tableColumns count="11">
    <tableColumn id="1" name="No"/>
    <tableColumn id="2" name="Nama Pelanggan"/>
    <tableColumn id="3" name="Kontak (HP/Email)"/>
    <tableColumn id="4" name="Kebutuhan/Minat"/>
    <tableColumn id="5" name="Tanggal Kontak Terakhir"/>
    <tableColumn id="6" name="Status Follow-Up"/>
    <tableColumn id="7" name="Prioritas"/>
    <tableColumn id="8" name="Jadwal Follow-Up Berikutnya"/>
    <tableColumn id="9" name="Catatan"/>
    <tableColumn id="10" name="Hari Sejak Kontak Terakhir"/>
    <tableColumn id="11" name="Status Keterlambata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xcelgratis.my.id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celgratis.my.id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24.45" hidden="false" customHeight="false" outlineLevel="0" collapsed="false">
      <c r="B2" s="1" t="s">
        <v>0</v>
      </c>
    </row>
    <row r="4" customFormat="false" ht="26.8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26.85" hidden="false" customHeight="false" outlineLevel="0" collapsed="false">
      <c r="B7" s="2" t="s">
        <v>3</v>
      </c>
    </row>
    <row r="9" customFormat="false" ht="15" hidden="false" customHeight="false" outlineLevel="0" collapsed="false">
      <c r="B9" s="4" t="s">
        <v>4</v>
      </c>
    </row>
    <row r="11" customFormat="false" ht="15" hidden="false" customHeight="false" outlineLevel="0" collapsed="false">
      <c r="B11" s="3" t="s">
        <v>5</v>
      </c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5" t="s">
        <v>7</v>
      </c>
    </row>
    <row r="14" customFormat="false" ht="15" hidden="false" customHeight="false" outlineLevel="0" collapsed="false">
      <c r="B14" s="5" t="s">
        <v>8</v>
      </c>
    </row>
    <row r="15" customFormat="false" ht="15" hidden="false" customHeight="false" outlineLevel="0" collapsed="false">
      <c r="B15" s="5" t="s">
        <v>9</v>
      </c>
    </row>
    <row r="16" customFormat="false" ht="15" hidden="false" customHeight="false" outlineLevel="0" collapsed="false">
      <c r="B16" s="5" t="s">
        <v>10</v>
      </c>
    </row>
    <row r="18" customFormat="false" ht="15" hidden="false" customHeight="false" outlineLevel="0" collapsed="false">
      <c r="B18" s="6" t="s">
        <v>11</v>
      </c>
    </row>
  </sheetData>
  <hyperlinks>
    <hyperlink ref="B9" r:id="rId1" display="Kunjungi excelgratis.my.id"/>
  </hyperlink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&amp;K808080ExcelGratis.id — Template Excel Gratis | excelgratis.my.id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7" t="s">
        <v>12</v>
      </c>
    </row>
    <row r="4" customFormat="false" ht="39.55" hidden="false" customHeight="false" outlineLevel="0" collapsed="false">
      <c r="B4" s="2" t="s">
        <v>13</v>
      </c>
    </row>
    <row r="5" customFormat="false" ht="26.85" hidden="false" customHeight="false" outlineLevel="0" collapsed="false">
      <c r="B5" s="2" t="s">
        <v>14</v>
      </c>
    </row>
    <row r="6" customFormat="false" ht="26.85" hidden="false" customHeight="false" outlineLevel="0" collapsed="false">
      <c r="B6" s="2" t="s">
        <v>15</v>
      </c>
    </row>
    <row r="7" customFormat="false" ht="26.85" hidden="false" customHeight="false" outlineLevel="0" collapsed="false">
      <c r="B7" s="2" t="s">
        <v>16</v>
      </c>
    </row>
    <row r="9" customFormat="false" ht="15" hidden="false" customHeight="false" outlineLevel="0" collapsed="false">
      <c r="B9" s="4" t="s">
        <v>17</v>
      </c>
    </row>
    <row r="10" customFormat="false" ht="15" hidden="false" customHeight="false" outlineLevel="0" collapsed="false">
      <c r="B10" s="5" t="s">
        <v>18</v>
      </c>
    </row>
    <row r="11" customFormat="false" ht="15" hidden="false" customHeight="false" outlineLevel="0" collapsed="false">
      <c r="B11" s="5" t="s">
        <v>19</v>
      </c>
    </row>
    <row r="12" customFormat="false" ht="15" hidden="false" customHeight="false" outlineLevel="0" collapsed="false">
      <c r="B12" s="5" t="s">
        <v>20</v>
      </c>
    </row>
    <row r="13" customFormat="false" ht="15" hidden="false" customHeight="false" outlineLevel="0" collapsed="false">
      <c r="B13" s="5" t="s">
        <v>21</v>
      </c>
    </row>
    <row r="16" customFormat="false" ht="15" hidden="false" customHeight="false" outlineLevel="0" collapsed="false">
      <c r="B16" s="8"/>
    </row>
    <row r="17" customFormat="false" ht="15" hidden="false" customHeight="false" outlineLevel="0" collapsed="false">
      <c r="B17" s="9" t="s">
        <v>22</v>
      </c>
    </row>
  </sheetData>
  <hyperlinks>
    <hyperlink ref="B17" r:id="rId1" display="Template gratis ini dibuat oleh ExcelGratis.id — cari template gratis lainnya di excelgratis.my.id"/>
  </hyperlink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&amp;K808080ExcelGratis.id — Template Excel Gratis | excelgratis.my.id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1" min="10" style="0" width="16"/>
  </cols>
  <sheetData>
    <row r="1" customFormat="false" ht="16.15" hidden="false" customHeight="false" outlineLevel="0" collapsed="false">
      <c r="A1" s="10" t="s">
        <v>23</v>
      </c>
    </row>
    <row r="2" customFormat="false" ht="15" hidden="false" customHeight="false" outlineLevel="0" collapsed="false">
      <c r="A2" s="11" t="s">
        <v>24</v>
      </c>
    </row>
    <row r="3" customFormat="false" ht="31.5" hidden="false" customHeight="true" outlineLevel="0" collapsed="false">
      <c r="A3" s="12" t="s">
        <v>25</v>
      </c>
      <c r="B3" s="12" t="s">
        <v>26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</row>
    <row r="4" customFormat="false" ht="23.85" hidden="false" customHeight="false" outlineLevel="0" collapsed="false">
      <c r="A4" s="13" t="n">
        <f aca="false">ROW()-3</f>
        <v>1</v>
      </c>
      <c r="B4" s="14" t="s">
        <v>36</v>
      </c>
      <c r="C4" s="14" t="s">
        <v>37</v>
      </c>
      <c r="D4" s="15" t="s">
        <v>38</v>
      </c>
      <c r="E4" s="16" t="n">
        <v>46193</v>
      </c>
      <c r="F4" s="17" t="s">
        <v>39</v>
      </c>
      <c r="G4" s="17" t="s">
        <v>40</v>
      </c>
      <c r="H4" s="16" t="n">
        <v>46208</v>
      </c>
      <c r="I4" s="15" t="s">
        <v>41</v>
      </c>
      <c r="J4" s="13" t="n">
        <f aca="true">IF(E4="","",TODAY()-E4)</f>
        <v>18</v>
      </c>
      <c r="K4" s="18" t="str">
        <f aca="true">IF(AND(NOT(ISBLANK(H4)),H4&lt;TODAY(),F4&lt;&gt;"Deal",F4&lt;&gt;"Batal"),"Terlambat","Tepat Waktu")</f>
        <v>Terlambat</v>
      </c>
    </row>
    <row r="5" customFormat="false" ht="23.85" hidden="false" customHeight="false" outlineLevel="0" collapsed="false">
      <c r="A5" s="13" t="n">
        <f aca="false">ROW()-3</f>
        <v>2</v>
      </c>
      <c r="B5" s="14" t="s">
        <v>42</v>
      </c>
      <c r="C5" s="14" t="s">
        <v>43</v>
      </c>
      <c r="D5" s="15" t="s">
        <v>44</v>
      </c>
      <c r="E5" s="16" t="n">
        <v>46198</v>
      </c>
      <c r="F5" s="17" t="s">
        <v>45</v>
      </c>
      <c r="G5" s="17" t="s">
        <v>46</v>
      </c>
      <c r="H5" s="16" t="n">
        <v>46213</v>
      </c>
      <c r="I5" s="15" t="s">
        <v>47</v>
      </c>
      <c r="J5" s="13" t="n">
        <f aca="true">IF(E5="","",TODAY()-E5)</f>
        <v>13</v>
      </c>
      <c r="K5" s="18" t="str">
        <f aca="true">IF(AND(NOT(ISBLANK(H5)),H5&lt;TODAY(),F5&lt;&gt;"Deal",F5&lt;&gt;"Batal"),"Terlambat","Tepat Waktu")</f>
        <v>Tepat Waktu</v>
      </c>
    </row>
    <row r="6" customFormat="false" ht="23.85" hidden="false" customHeight="false" outlineLevel="0" collapsed="false">
      <c r="A6" s="13" t="n">
        <f aca="false">ROW()-3</f>
        <v>3</v>
      </c>
      <c r="B6" s="14" t="s">
        <v>48</v>
      </c>
      <c r="C6" s="14" t="s">
        <v>49</v>
      </c>
      <c r="D6" s="15" t="s">
        <v>50</v>
      </c>
      <c r="E6" s="16" t="n">
        <v>46172</v>
      </c>
      <c r="F6" s="17" t="s">
        <v>51</v>
      </c>
      <c r="G6" s="17" t="s">
        <v>40</v>
      </c>
      <c r="H6" s="16" t="n">
        <v>46204</v>
      </c>
      <c r="I6" s="15" t="s">
        <v>52</v>
      </c>
      <c r="J6" s="13" t="n">
        <f aca="true">IF(E6="","",TODAY()-E6)</f>
        <v>39</v>
      </c>
      <c r="K6" s="18" t="str">
        <f aca="true">IF(AND(NOT(ISBLANK(H6)),H6&lt;TODAY(),F6&lt;&gt;"Deal",F6&lt;&gt;"Batal"),"Terlambat","Tepat Waktu")</f>
        <v>Terlambat</v>
      </c>
    </row>
    <row r="7" customFormat="false" ht="15" hidden="false" customHeight="false" outlineLevel="0" collapsed="false">
      <c r="A7" s="13" t="n">
        <f aca="false">ROW()-3</f>
        <v>4</v>
      </c>
      <c r="B7" s="14" t="s">
        <v>53</v>
      </c>
      <c r="C7" s="14" t="s">
        <v>54</v>
      </c>
      <c r="D7" s="15" t="s">
        <v>55</v>
      </c>
      <c r="E7" s="16" t="n">
        <v>46188</v>
      </c>
      <c r="F7" s="17" t="s">
        <v>56</v>
      </c>
      <c r="G7" s="17" t="s">
        <v>46</v>
      </c>
      <c r="H7" s="16" t="n">
        <v>46193</v>
      </c>
      <c r="I7" s="15" t="s">
        <v>57</v>
      </c>
      <c r="J7" s="13" t="n">
        <f aca="true">IF(E7="","",TODAY()-E7)</f>
        <v>23</v>
      </c>
      <c r="K7" s="18" t="str">
        <f aca="true">IF(AND(NOT(ISBLANK(H7)),H7&lt;TODAY(),F7&lt;&gt;"Deal",F7&lt;&gt;"Batal"),"Terlambat","Tepat Waktu")</f>
        <v>Tepat Waktu</v>
      </c>
    </row>
    <row r="8" customFormat="false" ht="15" hidden="false" customHeight="false" outlineLevel="0" collapsed="false">
      <c r="A8" s="13" t="n">
        <f aca="false">ROW()-3</f>
        <v>5</v>
      </c>
      <c r="B8" s="14" t="s">
        <v>58</v>
      </c>
      <c r="C8" s="14" t="s">
        <v>59</v>
      </c>
      <c r="D8" s="15" t="s">
        <v>60</v>
      </c>
      <c r="E8" s="16" t="n">
        <v>46201</v>
      </c>
      <c r="F8" s="17" t="s">
        <v>39</v>
      </c>
      <c r="G8" s="17" t="s">
        <v>40</v>
      </c>
      <c r="H8" s="16" t="n">
        <v>46218</v>
      </c>
      <c r="I8" s="15" t="s">
        <v>61</v>
      </c>
      <c r="J8" s="13" t="n">
        <f aca="true">IF(E8="","",TODAY()-E8)</f>
        <v>10</v>
      </c>
      <c r="K8" s="18" t="str">
        <f aca="true">IF(AND(NOT(ISBLANK(H8)),H8&lt;TODAY(),F8&lt;&gt;"Deal",F8&lt;&gt;"Batal"),"Terlambat","Tepat Waktu")</f>
        <v>Tepat Waktu</v>
      </c>
    </row>
    <row r="9" customFormat="false" ht="23.85" hidden="false" customHeight="false" outlineLevel="0" collapsed="false">
      <c r="A9" s="13" t="n">
        <f aca="false">ROW()-3</f>
        <v>6</v>
      </c>
      <c r="B9" s="14" t="s">
        <v>62</v>
      </c>
      <c r="C9" s="14" t="s">
        <v>63</v>
      </c>
      <c r="D9" s="15" t="s">
        <v>64</v>
      </c>
      <c r="E9" s="16" t="n">
        <v>46183</v>
      </c>
      <c r="F9" s="17" t="s">
        <v>65</v>
      </c>
      <c r="G9" s="17" t="s">
        <v>66</v>
      </c>
      <c r="H9" s="16"/>
      <c r="I9" s="15" t="s">
        <v>67</v>
      </c>
      <c r="J9" s="13" t="n">
        <f aca="true">IF(E9="","",TODAY()-E9)</f>
        <v>28</v>
      </c>
      <c r="K9" s="18" t="str">
        <f aca="true">IF(AND(NOT(ISBLANK(H9)),H9&lt;TODAY(),F9&lt;&gt;"Deal",F9&lt;&gt;"Batal"),"Terlambat","Tepat Waktu")</f>
        <v>Tepat Waktu</v>
      </c>
    </row>
    <row r="10" customFormat="false" ht="15" hidden="false" customHeight="false" outlineLevel="0" collapsed="false">
      <c r="A10" s="13" t="n">
        <f aca="false">ROW()-3</f>
        <v>7</v>
      </c>
      <c r="B10" s="14" t="s">
        <v>68</v>
      </c>
      <c r="C10" s="14" t="s">
        <v>69</v>
      </c>
      <c r="D10" s="15" t="s">
        <v>70</v>
      </c>
      <c r="E10" s="16" t="n">
        <v>46204</v>
      </c>
      <c r="F10" s="17" t="s">
        <v>45</v>
      </c>
      <c r="G10" s="17" t="s">
        <v>46</v>
      </c>
      <c r="H10" s="16" t="n">
        <v>46215</v>
      </c>
      <c r="I10" s="15" t="s">
        <v>71</v>
      </c>
      <c r="J10" s="13" t="n">
        <f aca="true">IF(E10="","",TODAY()-E10)</f>
        <v>7</v>
      </c>
      <c r="K10" s="18" t="str">
        <f aca="true">IF(AND(NOT(ISBLANK(H10)),H10&lt;TODAY(),F10&lt;&gt;"Deal",F10&lt;&gt;"Batal"),"Terlambat","Tepat Waktu")</f>
        <v>Tepat Waktu</v>
      </c>
    </row>
    <row r="11" customFormat="false" ht="15" hidden="false" customHeight="false" outlineLevel="0" collapsed="false">
      <c r="A11" s="13" t="n">
        <f aca="false">ROW()-3</f>
        <v>8</v>
      </c>
      <c r="B11" s="14" t="s">
        <v>72</v>
      </c>
      <c r="C11" s="14" t="s">
        <v>73</v>
      </c>
      <c r="D11" s="15" t="s">
        <v>74</v>
      </c>
      <c r="E11" s="16" t="n">
        <v>46191</v>
      </c>
      <c r="F11" s="17" t="s">
        <v>39</v>
      </c>
      <c r="G11" s="17" t="s">
        <v>40</v>
      </c>
      <c r="H11" s="16" t="n">
        <v>46206</v>
      </c>
      <c r="I11" s="15" t="s">
        <v>75</v>
      </c>
      <c r="J11" s="13" t="n">
        <f aca="true">IF(E11="","",TODAY()-E11)</f>
        <v>20</v>
      </c>
      <c r="K11" s="18" t="str">
        <f aca="true">IF(AND(NOT(ISBLANK(H11)),H11&lt;TODAY(),F11&lt;&gt;"Deal",F11&lt;&gt;"Batal"),"Terlambat","Tepat Waktu")</f>
        <v>Terlambat</v>
      </c>
    </row>
    <row r="12" customFormat="false" ht="23.85" hidden="false" customHeight="false" outlineLevel="0" collapsed="false">
      <c r="A12" s="13" t="n">
        <f aca="false">ROW()-3</f>
        <v>9</v>
      </c>
      <c r="B12" s="14" t="s">
        <v>76</v>
      </c>
      <c r="C12" s="14" t="s">
        <v>77</v>
      </c>
      <c r="D12" s="15" t="s">
        <v>78</v>
      </c>
      <c r="E12" s="16" t="n">
        <v>46203</v>
      </c>
      <c r="F12" s="17" t="s">
        <v>51</v>
      </c>
      <c r="G12" s="17" t="s">
        <v>46</v>
      </c>
      <c r="H12" s="16" t="n">
        <v>46212</v>
      </c>
      <c r="I12" s="15"/>
      <c r="J12" s="13" t="n">
        <f aca="true">IF(E12="","",TODAY()-E12)</f>
        <v>8</v>
      </c>
      <c r="K12" s="18" t="str">
        <f aca="true">IF(AND(NOT(ISBLANK(H12)),H12&lt;TODAY(),F12&lt;&gt;"Deal",F12&lt;&gt;"Batal"),"Terlambat","Tepat Waktu")</f>
        <v>Tepat Waktu</v>
      </c>
    </row>
    <row r="13" customFormat="false" ht="15" hidden="false" customHeight="false" outlineLevel="0" collapsed="false">
      <c r="A13" s="13" t="n">
        <f aca="false">ROW()-3</f>
        <v>10</v>
      </c>
      <c r="B13" s="14" t="s">
        <v>79</v>
      </c>
      <c r="C13" s="14" t="s">
        <v>80</v>
      </c>
      <c r="D13" s="15" t="s">
        <v>81</v>
      </c>
      <c r="E13" s="16" t="n">
        <v>46205</v>
      </c>
      <c r="F13" s="17" t="s">
        <v>45</v>
      </c>
      <c r="G13" s="17" t="s">
        <v>66</v>
      </c>
      <c r="H13" s="16" t="n">
        <v>46223</v>
      </c>
      <c r="I13" s="15" t="s">
        <v>82</v>
      </c>
      <c r="J13" s="13" t="n">
        <f aca="true">IF(E13="","",TODAY()-E13)</f>
        <v>6</v>
      </c>
      <c r="K13" s="18" t="str">
        <f aca="true">IF(AND(NOT(ISBLANK(H13)),H13&lt;TODAY(),F13&lt;&gt;"Deal",F13&lt;&gt;"Batal"),"Terlambat","Tepat Waktu")</f>
        <v>Tepat Waktu</v>
      </c>
    </row>
    <row r="14" customFormat="false" ht="23.85" hidden="false" customHeight="false" outlineLevel="0" collapsed="false">
      <c r="A14" s="13" t="n">
        <f aca="false">ROW()-3</f>
        <v>11</v>
      </c>
      <c r="B14" s="14" t="s">
        <v>83</v>
      </c>
      <c r="C14" s="14" t="s">
        <v>84</v>
      </c>
      <c r="D14" s="15" t="s">
        <v>85</v>
      </c>
      <c r="E14" s="16" t="n">
        <v>46178</v>
      </c>
      <c r="F14" s="17" t="s">
        <v>39</v>
      </c>
      <c r="G14" s="17" t="s">
        <v>40</v>
      </c>
      <c r="H14" s="16" t="n">
        <v>46198</v>
      </c>
      <c r="I14" s="15" t="s">
        <v>86</v>
      </c>
      <c r="J14" s="13" t="n">
        <f aca="true">IF(E14="","",TODAY()-E14)</f>
        <v>33</v>
      </c>
      <c r="K14" s="18" t="str">
        <f aca="true">IF(AND(NOT(ISBLANK(H14)),H14&lt;TODAY(),F14&lt;&gt;"Deal",F14&lt;&gt;"Batal"),"Terlambat","Tepat Waktu")</f>
        <v>Terlambat</v>
      </c>
    </row>
    <row r="15" customFormat="false" ht="15" hidden="false" customHeight="false" outlineLevel="0" collapsed="false">
      <c r="A15" s="13" t="n">
        <f aca="false">ROW()-3</f>
        <v>12</v>
      </c>
      <c r="B15" s="14" t="s">
        <v>87</v>
      </c>
      <c r="C15" s="14" t="s">
        <v>88</v>
      </c>
      <c r="D15" s="15" t="s">
        <v>89</v>
      </c>
      <c r="E15" s="16" t="n">
        <v>46206</v>
      </c>
      <c r="F15" s="17" t="s">
        <v>51</v>
      </c>
      <c r="G15" s="17" t="s">
        <v>46</v>
      </c>
      <c r="H15" s="16" t="n">
        <v>46217</v>
      </c>
      <c r="I15" s="15"/>
      <c r="J15" s="13" t="n">
        <f aca="true">IF(E15="","",TODAY()-E15)</f>
        <v>5</v>
      </c>
      <c r="K15" s="18" t="str">
        <f aca="true">IF(AND(NOT(ISBLANK(H15)),H15&lt;TODAY(),F15&lt;&gt;"Deal",F15&lt;&gt;"Batal"),"Terlambat","Tepat Waktu")</f>
        <v>Tepat Waktu</v>
      </c>
    </row>
    <row r="16" customFormat="false" ht="15" hidden="false" customHeight="false" outlineLevel="0" collapsed="false">
      <c r="A16" s="13" t="n">
        <f aca="false">ROW()-3</f>
        <v>13</v>
      </c>
      <c r="B16" s="14" t="s">
        <v>90</v>
      </c>
      <c r="C16" s="14" t="s">
        <v>91</v>
      </c>
      <c r="D16" s="15" t="s">
        <v>92</v>
      </c>
      <c r="E16" s="16" t="n">
        <v>46195</v>
      </c>
      <c r="F16" s="17" t="s">
        <v>56</v>
      </c>
      <c r="G16" s="17" t="s">
        <v>40</v>
      </c>
      <c r="H16" s="16" t="n">
        <v>46201</v>
      </c>
      <c r="I16" s="15" t="s">
        <v>93</v>
      </c>
      <c r="J16" s="13" t="n">
        <f aca="true">IF(E16="","",TODAY()-E16)</f>
        <v>16</v>
      </c>
      <c r="K16" s="18" t="str">
        <f aca="true">IF(AND(NOT(ISBLANK(H16)),H16&lt;TODAY(),F16&lt;&gt;"Deal",F16&lt;&gt;"Batal"),"Terlambat","Tepat Waktu")</f>
        <v>Tepat Waktu</v>
      </c>
    </row>
    <row r="17" customFormat="false" ht="15" hidden="false" customHeight="false" outlineLevel="0" collapsed="false">
      <c r="A17" s="13" t="n">
        <f aca="false">ROW()-3</f>
        <v>14</v>
      </c>
      <c r="B17" s="14" t="s">
        <v>94</v>
      </c>
      <c r="C17" s="14" t="s">
        <v>95</v>
      </c>
      <c r="D17" s="15" t="s">
        <v>96</v>
      </c>
      <c r="E17" s="16" t="n">
        <v>46202</v>
      </c>
      <c r="F17" s="17" t="s">
        <v>45</v>
      </c>
      <c r="G17" s="17" t="s">
        <v>46</v>
      </c>
      <c r="H17" s="16" t="n">
        <v>46214</v>
      </c>
      <c r="I17" s="15" t="s">
        <v>97</v>
      </c>
      <c r="J17" s="13" t="n">
        <f aca="true">IF(E17="","",TODAY()-E17)</f>
        <v>9</v>
      </c>
      <c r="K17" s="18" t="str">
        <f aca="true">IF(AND(NOT(ISBLANK(H17)),H17&lt;TODAY(),F17&lt;&gt;"Deal",F17&lt;&gt;"Batal"),"Terlambat","Tepat Waktu")</f>
        <v>Tepat Waktu</v>
      </c>
    </row>
    <row r="18" customFormat="false" ht="15" hidden="false" customHeight="false" outlineLevel="0" collapsed="false">
      <c r="A18" s="13" t="n">
        <f aca="false">ROW()-3</f>
        <v>15</v>
      </c>
      <c r="B18" s="14" t="s">
        <v>98</v>
      </c>
      <c r="C18" s="14" t="s">
        <v>99</v>
      </c>
      <c r="D18" s="15" t="s">
        <v>100</v>
      </c>
      <c r="E18" s="16" t="n">
        <v>46185</v>
      </c>
      <c r="F18" s="17" t="s">
        <v>65</v>
      </c>
      <c r="G18" s="17" t="s">
        <v>66</v>
      </c>
      <c r="H18" s="16"/>
      <c r="I18" s="15" t="s">
        <v>101</v>
      </c>
      <c r="J18" s="13" t="n">
        <f aca="true">IF(E18="","",TODAY()-E18)</f>
        <v>26</v>
      </c>
      <c r="K18" s="18" t="str">
        <f aca="true">IF(AND(NOT(ISBLANK(H18)),H18&lt;TODAY(),F18&lt;&gt;"Deal",F18&lt;&gt;"Batal"),"Terlambat","Tepat Waktu")</f>
        <v>Tepat Waktu</v>
      </c>
    </row>
  </sheetData>
  <conditionalFormatting sqref="K4:K18">
    <cfRule type="cellIs" priority="2" operator="equal" aboveAverage="0" equalAverage="0" bottom="0" percent="0" rank="0" text="" dxfId="11">
      <formula>"Terlambat"</formula>
    </cfRule>
  </conditionalFormatting>
  <conditionalFormatting sqref="F4:F18">
    <cfRule type="cellIs" priority="3" operator="equal" aboveAverage="0" equalAverage="0" bottom="0" percent="0" rank="0" text="" dxfId="12">
      <formula>"Deal"</formula>
    </cfRule>
  </conditionalFormatting>
  <conditionalFormatting sqref="G4:G18">
    <cfRule type="cellIs" priority="4" operator="equal" aboveAverage="0" equalAverage="0" bottom="0" percent="0" rank="0" text="" dxfId="13">
      <formula>"Tinggi"</formula>
    </cfRule>
  </conditionalFormatting>
  <dataValidations count="2">
    <dataValidation allowBlank="true" errorStyle="stop" operator="between" showDropDown="false" showErrorMessage="false" showInputMessage="false" sqref="F4:F38" type="list">
      <formula1>"Belum Dihubungi,Sudah Dihubungi,Menunggu Respon,Deal,Batal"</formula1>
      <formula2>0</formula2>
    </dataValidation>
    <dataValidation allowBlank="true" errorStyle="stop" operator="between" showDropDown="false" showErrorMessage="false" showInputMessage="false" sqref="G4:G38" type="list">
      <formula1>"Tinggi,Sedang,Rendah"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&amp;K808080ExcelGratis.id — Template Excel Gratis | excelgratis.my.id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0" t="s">
        <v>102</v>
      </c>
    </row>
    <row r="2" customFormat="false" ht="15" hidden="false" customHeight="false" outlineLevel="0" collapsed="false">
      <c r="A2" s="11" t="s">
        <v>103</v>
      </c>
    </row>
    <row r="4" customFormat="false" ht="15" hidden="false" customHeight="false" outlineLevel="0" collapsed="false">
      <c r="A4" s="3" t="s">
        <v>104</v>
      </c>
      <c r="D4" s="3" t="s">
        <v>105</v>
      </c>
    </row>
    <row r="5" customFormat="false" ht="15" hidden="false" customHeight="false" outlineLevel="0" collapsed="false">
      <c r="A5" s="19" t="s">
        <v>106</v>
      </c>
      <c r="B5" s="20" t="n">
        <f aca="false">COUNTA(DataPelanggan[Nama Pelanggan])</f>
        <v>15</v>
      </c>
      <c r="D5" s="19" t="s">
        <v>51</v>
      </c>
      <c r="E5" s="20" t="n">
        <f aca="false">COUNTIF(DataPelanggan[Status Follow-Up],"Belum Dihubungi")</f>
        <v>3</v>
      </c>
    </row>
    <row r="6" customFormat="false" ht="15" hidden="false" customHeight="false" outlineLevel="0" collapsed="false">
      <c r="A6" s="19" t="s">
        <v>51</v>
      </c>
      <c r="B6" s="20" t="n">
        <f aca="false">COUNTIF(DataPelanggan[Status Follow-Up],"Belum Dihubungi")</f>
        <v>3</v>
      </c>
      <c r="D6" s="19" t="s">
        <v>45</v>
      </c>
      <c r="E6" s="20" t="n">
        <f aca="false">COUNTIF(DataPelanggan[Status Follow-Up],"Sudah Dihubungi")</f>
        <v>4</v>
      </c>
    </row>
    <row r="7" customFormat="false" ht="15" hidden="false" customHeight="false" outlineLevel="0" collapsed="false">
      <c r="A7" s="19" t="s">
        <v>45</v>
      </c>
      <c r="B7" s="20" t="n">
        <f aca="false">COUNTIF(DataPelanggan[Status Follow-Up],"Sudah Dihubungi")</f>
        <v>4</v>
      </c>
      <c r="D7" s="19" t="s">
        <v>39</v>
      </c>
      <c r="E7" s="20" t="n">
        <f aca="false">COUNTIF(DataPelanggan[Status Follow-Up],"Menunggu Respon")</f>
        <v>4</v>
      </c>
    </row>
    <row r="8" customFormat="false" ht="15" hidden="false" customHeight="false" outlineLevel="0" collapsed="false">
      <c r="A8" s="19" t="s">
        <v>39</v>
      </c>
      <c r="B8" s="20" t="n">
        <f aca="false">COUNTIF(DataPelanggan[Status Follow-Up],"Menunggu Respon")</f>
        <v>4</v>
      </c>
      <c r="D8" s="19" t="s">
        <v>56</v>
      </c>
      <c r="E8" s="20" t="n">
        <f aca="false">COUNTIF(DataPelanggan[Status Follow-Up],"Deal")</f>
        <v>2</v>
      </c>
    </row>
    <row r="9" customFormat="false" ht="15" hidden="false" customHeight="false" outlineLevel="0" collapsed="false">
      <c r="A9" s="19" t="s">
        <v>107</v>
      </c>
      <c r="B9" s="20" t="n">
        <f aca="false">COUNTIF(DataPelanggan[Status Follow-Up],"Deal")</f>
        <v>2</v>
      </c>
      <c r="D9" s="19" t="s">
        <v>65</v>
      </c>
      <c r="E9" s="20" t="n">
        <f aca="false">COUNTIF(DataPelanggan[Status Follow-Up],"Batal")</f>
        <v>2</v>
      </c>
    </row>
    <row r="10" customFormat="false" ht="15" hidden="false" customHeight="false" outlineLevel="0" collapsed="false">
      <c r="A10" s="19" t="s">
        <v>65</v>
      </c>
      <c r="B10" s="20" t="n">
        <f aca="false">COUNTIF(DataPelanggan[Status Follow-Up],"Batal")</f>
        <v>2</v>
      </c>
    </row>
    <row r="11" customFormat="false" ht="15" hidden="false" customHeight="false" outlineLevel="0" collapsed="false">
      <c r="A11" s="19" t="s">
        <v>108</v>
      </c>
      <c r="B11" s="20" t="n">
        <f aca="false">COUNTIF(DataPelanggan[Status Keterlambatan],"Terlambat")</f>
        <v>4</v>
      </c>
    </row>
    <row r="12" customFormat="false" ht="15" hidden="false" customHeight="false" outlineLevel="0" collapsed="false">
      <c r="A12" s="19" t="s">
        <v>109</v>
      </c>
      <c r="B12" s="20" t="n">
        <f aca="false">COUNTIFS(DataPelanggan[Jadwal Follow-Up Berikutnya],"&gt;="&amp;TODAY(),DataPelanggan[Jadwal Follow-Up Berikutnya],"&lt;="&amp;TODAY()+7)</f>
        <v>6</v>
      </c>
    </row>
  </sheetData>
  <conditionalFormatting sqref="B11">
    <cfRule type="expression" priority="2" aboveAverage="0" equalAverage="0" bottom="0" percent="0" rank="0" text="" dxfId="11">
      <formula>B11&gt;0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&amp;K808080ExcelGratis.id — Template Excel Gratis | excelgratis.my.id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Template Excel Gratis</cp:category>
  <dcterms:created xsi:type="dcterms:W3CDTF">2026-07-08T08:28:47Z</dcterms:created>
  <dc:creator>ExcelGratis.id</dc:creator>
  <dc:description>Dibuat oleh ExcelGratis.id (excelgratis.my.id) — template Excel gratis untuk kebutuhan praktis sehari-hari.</dc:description>
  <cp:keywords>follow up pelanggan template excel gratis excelgratis.id</cp:keywords>
  <dc:language>en-US</dc:language>
  <cp:lastModifiedBy/>
  <dcterms:modified xsi:type="dcterms:W3CDTF">2026-07-08T08:28:55Z</dcterms:modified>
  <cp:revision>1</cp:revision>
  <dc:subject>Template Excel gratis dari ExcelGratis.id</dc:subject>
  <dc:title>Template Excel Follow-Up Pelanggan: Agar Tidak Ada Prospek yang Terlewat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