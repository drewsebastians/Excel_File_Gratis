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5f05791bc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72ffdd4b7f8f4655"/>
    <x:sheet xmlns:r="http://schemas.openxmlformats.org/officeDocument/2006/relationships" name="Data Penjualan" sheetId="2" r:id="Rbbbb2300130d4a85"/>
    <x:sheet xmlns:r="http://schemas.openxmlformats.org/officeDocument/2006/relationships" name="Dashboard" sheetId="3" r:id="R8d70e4b0ad234296"/>
    <x:sheet xmlns:r="http://schemas.openxmlformats.org/officeDocument/2006/relationships" name="Referensi" sheetId="4" r:id="R2e39dc4a58c9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20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5a2b131e04058" /><Relationship Type="http://schemas.openxmlformats.org/officeDocument/2006/relationships/theme" Target="/xl/theme/theme1.xml" Id="Rbd3d8abfbf1c41e6" /><Relationship Type="http://schemas.openxmlformats.org/officeDocument/2006/relationships/sharedStrings" Target="/xl/sharedStrings.xml" Id="R97e76db55f1245a1" /><Relationship Type="http://schemas.openxmlformats.org/officeDocument/2006/relationships/worksheet" Target="/xl/worksheets/sheet1.xml" Id="R72ffdd4b7f8f4655" /><Relationship Type="http://schemas.openxmlformats.org/officeDocument/2006/relationships/worksheet" Target="/xl/worksheets/sheet2.xml" Id="Rbbbb2300130d4a85" /><Relationship Type="http://schemas.openxmlformats.org/officeDocument/2006/relationships/worksheet" Target="/xl/worksheets/sheet3.xml" Id="R8d70e4b0ad234296" /><Relationship Type="http://schemas.openxmlformats.org/officeDocument/2006/relationships/worksheet" Target="/xl/worksheets/sheet4.xml" Id="R2e39dc4a58c94f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97bd47924b49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Penjualan per Kategori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Penjualan</c:v>
          </c:tx>
          <c:cat>
            <c:strRef>
              <c:f>'Dashboard'!$A$10:$A$12</c:f>
              <c:strCache>
                <c:ptCount val="0"/>
              </c:strCache>
            </c:strRef>
          </c:cat>
          <c:val>
            <c:numRef>
              <c:f>'Dashboard'!$B$10:$B$12</c:f>
              <c:numCache>
                <c:formatCode>[$Rp-421]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97bd47924b49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able" displayName="SalesTable" ref="A3:I8" headerRowCount="1" totalsRowCount="0" totalsRowShown="0">
  <x:tableColumns count="9">
    <x:tableColumn id="1" name="Tanggal"/>
    <x:tableColumn id="2" name="No. Invoice"/>
    <x:tableColumn id="3" name="Produk/Jasa"/>
    <x:tableColumn id="4" name="Kategori"/>
    <x:tableColumn id="5" name="Metode Bayar"/>
    <x:tableColumn id="6" name="Jumlah"/>
    <x:tableColumn id="7" name="Harga Satuan"/>
    <x:tableColumn id="8" name="Diskon"/>
    <x:tableColumn id="9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ded7b7c6ee4d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91aeb422a984a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Laporan Penjualan Harian UMKM</x:v>
      </x:c>
      <x:c r="B1" s="4" t="str">
        <x:v>Laporan Penjualan Harian UMKM</x:v>
      </x:c>
      <x:c r="C1" s="4" t="str">
        <x:v>Laporan Penjualan Harian UMKM</x:v>
      </x:c>
      <x:c r="D1" s="4" t="str">
        <x:v>Laporan Penjualan Harian UMKM</x:v>
      </x:c>
      <x:c r="E1" s="4" t="str">
        <x:v>Laporan Penjualan Harian UMKM</x:v>
      </x:c>
      <x:c r="F1" s="4" t="str">
        <x:v>Laporan Penjualan Harian UMKM</x:v>
      </x:c>
    </x:row>
    <x:row r="3">
      <x:c r="A3" s="6" t="str">
        <x:v>Mulai dari sini</x:v>
      </x:c>
      <x:c r="B3" s="6" t="str">
        <x:v>Mulai dari sini</x:v>
      </x:c>
      <x:c r="C3" s="6" t="str">
        <x:v>Mulai dari sini</x:v>
      </x:c>
      <x:c r="D3" s="6" t="str">
        <x:v>Mulai dari sini</x:v>
      </x:c>
      <x:c r="E3" s="6" t="str">
        <x:v>Mulai dari sini</x:v>
      </x:c>
      <x:c r="F3" s="6" t="str">
        <x:v>Mulai dari sini</x:v>
      </x:c>
    </x:row>
    <x:row r="5">
      <x:c r="A5" s="9" t="n">
        <x:v>1</x:v>
      </x:c>
      <x:c r="B5" s="9" t="str">
        <x:v>Catat satu transaksi per baris di sheet Data Penjualan.</x:v>
      </x:c>
      <x:c r="C5" s="9"/>
      <x:c r="D5" s="9"/>
      <x:c r="E5" s="9"/>
      <x:c r="F5" s="9"/>
    </x:row>
    <x:row r="6">
      <x:c r="A6" s="9" t="n">
        <x:v>2</x:v>
      </x:c>
      <x:c r="B6" s="9" t="str">
        <x:v>Pilih kategori dan metode pembayaran dari dropdown agar rekap tetap konsisten.</x:v>
      </x:c>
      <x:c r="C6" s="9"/>
      <x:c r="D6" s="9"/>
      <x:c r="E6" s="9"/>
      <x:c r="F6" s="9"/>
    </x:row>
    <x:row r="7">
      <x:c r="A7" s="9" t="n">
        <x:v>3</x:v>
      </x:c>
      <x:c r="B7" s="9" t="str">
        <x:v>Kolom Total otomatis mengalikan jumlah dengan harga satuan lalu mengurangi diskon.</x:v>
      </x:c>
      <x:c r="C7" s="9"/>
      <x:c r="D7" s="9"/>
      <x:c r="E7" s="9"/>
      <x:c r="F7" s="9"/>
    </x:row>
    <x:row r="8">
      <x:c r="A8" s="9" t="n">
        <x:v>4</x:v>
      </x:c>
      <x:c r="B8" s="9" t="str">
        <x:v>Lihat Dashboard untuk ringkasan penjualan contoh dan rekap per kategori.</x:v>
      </x:c>
      <x:c r="C8" s="9"/>
      <x:c r="D8" s="9"/>
      <x:c r="E8" s="9"/>
      <x:c r="F8" s="9"/>
    </x:row>
    <x:row r="11">
      <x:c r="A11" s="6" t="str">
        <x:v>Batasan penggunaan</x:v>
      </x:c>
      <x:c r="B11" s="6" t="str">
        <x:v>Batasan penggunaan</x:v>
      </x:c>
      <x:c r="C11" s="6" t="str">
        <x:v>Batasan penggunaan</x:v>
      </x:c>
      <x:c r="D11" s="6" t="str">
        <x:v>Batasan penggunaan</x:v>
      </x:c>
      <x:c r="E11" s="6" t="str">
        <x:v>Batasan penggunaan</x:v>
      </x:c>
      <x:c r="F11" s="6" t="str">
        <x:v>Batasan penggunaan</x:v>
      </x:c>
    </x:row>
    <x:row r="13">
      <x:c r="A13" s="14" t="str">
        <x:v>Gunakan untuk pencatatan operasional sederhana. Hasilnya bukan laporan akuntansi atau laporan pajak dan perlu dicocokkan dengan bukti transaksi usaha.</x:v>
      </x:c>
      <x:c r="B13" s="15"/>
      <x:c r="C13" s="15"/>
      <x:c r="D13" s="15"/>
      <x:c r="E13" s="15"/>
      <x:c r="F13" s="16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4" t="str">
        <x:v>DATA PENJUALAN HARIAN</x:v>
      </x:c>
      <x:c r="B1" s="4" t="str">
        <x:v>DATA PENJUALAN HARIAN</x:v>
      </x:c>
      <x:c r="C1" s="4" t="str">
        <x:v>DATA PENJUALAN HARIAN</x:v>
      </x:c>
      <x:c r="D1" s="4" t="str">
        <x:v>DATA PENJUALAN HARIAN</x:v>
      </x:c>
      <x:c r="E1" s="4" t="str">
        <x:v>DATA PENJUALAN HARIAN</x:v>
      </x:c>
      <x:c r="F1" s="4" t="str">
        <x:v>DATA PENJUALAN HARIAN</x:v>
      </x:c>
      <x:c r="G1" s="4" t="str">
        <x:v>DATA PENJUALAN HARIAN</x:v>
      </x:c>
      <x:c r="H1" s="4" t="str">
        <x:v>DATA PENJUALAN HARIAN</x:v>
      </x:c>
      <x:c r="I1" s="4" t="str">
        <x:v>DATA PENJUALAN HARIAN</x:v>
      </x:c>
    </x:row>
    <x:row r="3">
      <x:c r="A3" s="20" t="str">
        <x:v>Tanggal</x:v>
      </x:c>
      <x:c r="B3" s="20" t="str">
        <x:v>No. Invoice</x:v>
      </x:c>
      <x:c r="C3" s="20" t="str">
        <x:v>Produk/Jasa</x:v>
      </x:c>
      <x:c r="D3" s="20" t="str">
        <x:v>Kategori</x:v>
      </x:c>
      <x:c r="E3" s="20" t="str">
        <x:v>Metode Bayar</x:v>
      </x:c>
      <x:c r="F3" s="20" t="str">
        <x:v>Jumlah</x:v>
      </x:c>
      <x:c r="G3" s="20" t="str">
        <x:v>Harga Satuan</x:v>
      </x:c>
      <x:c r="H3" s="20" t="str">
        <x:v>Diskon</x:v>
      </x:c>
      <x:c r="I3" s="20" t="str">
        <x:v>Total</x:v>
      </x:c>
    </x:row>
    <x:row r="4">
      <x:c r="A4" s="25" t="n">
        <x:v>46211</x:v>
      </x:c>
      <x:c r="B4" s="26" t="str">
        <x:v>INV-001</x:v>
      </x:c>
      <x:c r="C4" s="26" t="str">
        <x:v>Kopi Susu</x:v>
      </x:c>
      <x:c r="D4" s="26" t="str">
        <x:v>Minuman</x:v>
      </x:c>
      <x:c r="E4" s="26" t="str">
        <x:v>QRIS</x:v>
      </x:c>
      <x:c r="F4" s="26" t="n">
        <x:v>10</x:v>
      </x:c>
      <x:c r="G4" s="27" t="n">
        <x:v>18000</x:v>
      </x:c>
      <x:c r="H4" s="27" t="n">
        <x:v>0</x:v>
      </x:c>
      <x:c r="I4" s="24" t="n">
        <x:f>F4*G4-H4</x:f>
        <x:v>180000</x:v>
      </x:c>
    </x:row>
    <x:row r="5">
      <x:c r="A5" s="25" t="n">
        <x:v>46212</x:v>
      </x:c>
      <x:c r="B5" s="26" t="str">
        <x:v>INV-002</x:v>
      </x:c>
      <x:c r="C5" s="26" t="str">
        <x:v>Snack Box</x:v>
      </x:c>
      <x:c r="D5" s="26" t="str">
        <x:v>Makanan</x:v>
      </x:c>
      <x:c r="E5" s="26" t="str">
        <x:v>Transfer</x:v>
      </x:c>
      <x:c r="F5" s="26" t="n">
        <x:v>12</x:v>
      </x:c>
      <x:c r="G5" s="27" t="n">
        <x:v>15000</x:v>
      </x:c>
      <x:c r="H5" s="27" t="n">
        <x:v>10000</x:v>
      </x:c>
      <x:c r="I5" s="24" t="n">
        <x:f>F5*G5-H5</x:f>
        <x:v>170000</x:v>
      </x:c>
    </x:row>
    <x:row r="6">
      <x:c r="A6" s="25" t="n">
        <x:v>46213</x:v>
      </x:c>
      <x:c r="B6" s="26" t="str">
        <x:v>INV-003</x:v>
      </x:c>
      <x:c r="C6" s="26" t="str">
        <x:v>Kopi Susu</x:v>
      </x:c>
      <x:c r="D6" s="26" t="str">
        <x:v>Minuman</x:v>
      </x:c>
      <x:c r="E6" s="26" t="str">
        <x:v>Tunai</x:v>
      </x:c>
      <x:c r="F6" s="26" t="n">
        <x:v>8</x:v>
      </x:c>
      <x:c r="G6" s="27" t="n">
        <x:v>18000</x:v>
      </x:c>
      <x:c r="H6" s="27" t="n">
        <x:v>0</x:v>
      </x:c>
      <x:c r="I6" s="24" t="n">
        <x:f>F6*G6-H6</x:f>
        <x:v>144000</x:v>
      </x:c>
    </x:row>
    <x:row r="7">
      <x:c r="A7" s="25" t="n">
        <x:v>46214</x:v>
      </x:c>
      <x:c r="B7" s="26" t="str">
        <x:v>INV-004</x:v>
      </x:c>
      <x:c r="C7" s="26" t="str">
        <x:v>Catering</x:v>
      </x:c>
      <x:c r="D7" s="26" t="str">
        <x:v>Makanan</x:v>
      </x:c>
      <x:c r="E7" s="26" t="str">
        <x:v>Transfer</x:v>
      </x:c>
      <x:c r="F7" s="26" t="n">
        <x:v>1</x:v>
      </x:c>
      <x:c r="G7" s="27" t="n">
        <x:v>350000</x:v>
      </x:c>
      <x:c r="H7" s="27" t="n">
        <x:v>0</x:v>
      </x:c>
      <x:c r="I7" s="24" t="n">
        <x:f>F7*G7-H7</x:f>
        <x:v>350000</x:v>
      </x:c>
    </x:row>
    <x:row r="8">
      <x:c r="A8" s="25" t="n">
        <x:v>46215</x:v>
      </x:c>
      <x:c r="B8" s="26" t="str">
        <x:v>INV-005</x:v>
      </x:c>
      <x:c r="C8" s="26" t="str">
        <x:v>Merchandise</x:v>
      </x:c>
      <x:c r="D8" s="26" t="str">
        <x:v>Lainnya</x:v>
      </x:c>
      <x:c r="E8" s="26" t="str">
        <x:v>QRIS</x:v>
      </x:c>
      <x:c r="F8" s="26" t="n">
        <x:v>3</x:v>
      </x:c>
      <x:c r="G8" s="27" t="n">
        <x:v>25000</x:v>
      </x:c>
      <x:c r="H8" s="27" t="n">
        <x:v>0</x:v>
      </x:c>
      <x:c r="I8" s="24" t="n">
        <x:f>F8*G8-H8</x:f>
        <x:v>75000</x:v>
      </x:c>
    </x:row>
  </x:sheetData>
  <x:mergeCells>
    <x:mergeCell ref="A1:I1"/>
  </x:mergeCells>
  <x:dataValidations count="2">
    <x:dataValidation type="list" sqref="D4:D80">
      <x:formula1>"Makanan,Minuman,Lainnya"</x:formula1>
    </x:dataValidation>
    <x:dataValidation type="list" sqref="E4:E80">
      <x:formula1>"Tunai,Transfer,QRIS"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ded7b7c6ee4d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4" t="str">
        <x:v>DASHBOARD PENJUALAN HARIAN</x:v>
      </x:c>
      <x:c r="B1" s="4" t="str">
        <x:v>DASHBOARD PENJUALAN HARIAN</x:v>
      </x:c>
      <x:c r="C1" s="4" t="str">
        <x:v>DASHBOARD PENJUALAN HARIAN</x:v>
      </x:c>
      <x:c r="D1" s="4" t="str">
        <x:v>DASHBOARD PENJUALAN HARIAN</x:v>
      </x:c>
      <x:c r="E1" s="4" t="str">
        <x:v>DASHBOARD PENJUALAN HARIAN</x:v>
      </x:c>
      <x:c r="F1" s="4" t="str">
        <x:v>DASHBOARD PENJUALAN HARIAN</x:v>
      </x:c>
      <x:c r="G1" s="4" t="str">
        <x:v>DASHBOARD PENJUALAN HARIAN</x:v>
      </x:c>
      <x:c r="H1" s="4" t="str">
        <x:v>DASHBOARD PENJUALAN HARIAN</x:v>
      </x:c>
      <x:c r="I1" s="4" t="str">
        <x:v>DASHBOARD PENJUALAN HARIAN</x:v>
      </x:c>
      <x:c r="J1" s="4" t="str">
        <x:v>DASHBOARD PENJUALAN HARIAN</x:v>
      </x:c>
    </x:row>
    <x:row r="3">
      <x:c r="A3" s="31" t="str">
        <x:v>Total Penjualan</x:v>
      </x:c>
      <x:c r="B3" s="32" t="n">
        <x:f>SUM('Data Penjualan'!I4:I80)</x:f>
        <x:v>919000</x:v>
      </x:c>
    </x:row>
    <x:row r="4">
      <x:c r="A4" s="31" t="str">
        <x:v>Jumlah Transaksi</x:v>
      </x:c>
      <x:c r="B4" s="32" t="n">
        <x:f>COUNTA('Data Penjualan'!B4:B80)</x:f>
        <x:v>5</x:v>
      </x:c>
    </x:row>
    <x:row r="5">
      <x:c r="A5" s="31" t="str">
        <x:v>Rata-rata per Transaksi</x:v>
      </x:c>
      <x:c r="B5" s="32" t="n">
        <x:f>IFERROR(B3/B4,0)</x:f>
        <x:v>183800</x:v>
      </x:c>
    </x:row>
    <x:row r="6">
      <x:c r="A6" s="31" t="str">
        <x:v>Tanggal Data Terakhir</x:v>
      </x:c>
      <x:c r="B6" s="33" t="n">
        <x:f>MAX('Data Penjualan'!A4:A80)</x:f>
        <x:v>46215</x:v>
      </x:c>
    </x:row>
    <x:row r="9">
      <x:c r="A9" s="20" t="str">
        <x:v>Kategori</x:v>
      </x:c>
      <x:c r="B9" s="20" t="str">
        <x:v>Total Penjualan</x:v>
      </x:c>
    </x:row>
    <x:row r="10">
      <x:c r="A10" s="7" t="str">
        <x:v>Makanan</x:v>
      </x:c>
      <x:c r="B10" s="24" t="n">
        <x:f>SUMIFS('Data Penjualan'!$I$4:$I$80,'Data Penjualan'!$D$4:$D$80,A10)</x:f>
        <x:v>520000</x:v>
      </x:c>
    </x:row>
    <x:row r="11">
      <x:c r="A11" s="7" t="str">
        <x:v>Minuman</x:v>
      </x:c>
      <x:c r="B11" s="24" t="n">
        <x:f>SUMIFS('Data Penjualan'!$I$4:$I$80,'Data Penjualan'!$D$4:$D$80,A11)</x:f>
        <x:v>324000</x:v>
      </x:c>
    </x:row>
    <x:row r="12">
      <x:c r="A12" s="7" t="str">
        <x:v>Lainnya</x:v>
      </x:c>
      <x:c r="B12" s="24" t="n">
        <x:f>SUMIFS('Data Penjualan'!$I$4:$I$80,'Data Penjualan'!$D$4:$D$80,A12)</x:f>
        <x:v>75000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491aeb422a984a6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8" customHeight="1">
      <x:c r="A1" s="4" t="str">
        <x:v>REFERENSI INPUT</x:v>
      </x:c>
      <x:c r="B1" s="4" t="str">
        <x:v>REFERENSI INPUT</x:v>
      </x:c>
      <x:c r="C1" s="4" t="str">
        <x:v>REFERENSI INPUT</x:v>
      </x:c>
      <x:c r="D1" s="4" t="str">
        <x:v>REFERENSI INPUT</x:v>
      </x:c>
    </x:row>
    <x:row r="3">
      <x:c r="A3" s="20" t="str">
        <x:v>Kategori</x:v>
      </x:c>
      <x:c r="B3" s="20" t="str">
        <x:v>Metode Pembayaran</x:v>
      </x:c>
    </x:row>
    <x:row r="4">
      <x:c r="A4" s="7" t="str">
        <x:v>Makanan</x:v>
      </x:c>
      <x:c r="B4" s="7" t="str">
        <x:v>Tunai</x:v>
      </x:c>
    </x:row>
    <x:row r="5">
      <x:c r="A5" s="7" t="str">
        <x:v>Minuman</x:v>
      </x:c>
      <x:c r="B5" s="7" t="str">
        <x:v>Transfer</x:v>
      </x:c>
    </x:row>
    <x:row r="6">
      <x:c r="A6" s="7" t="str">
        <x:v>Lainnya</x:v>
      </x:c>
      <x:c r="B6" s="7" t="str">
        <x:v>QRIS</x:v>
      </x:c>
    </x:row>
  </x:sheetData>
  <x:mergeCells>
    <x:mergeCell ref="A1:D1"/>
  </x:mergeCells>
  <x:pageMargins left="0.7" right="0.7" top="0.75" bottom="0.75" header="0.3" footer="0.3"/>
</x:worksheet>
</file>