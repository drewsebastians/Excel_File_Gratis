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a586c9491942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a Pakai" sheetId="1" r:id="R3cb28c85f6134d83"/>
    <x:sheet xmlns:r="http://schemas.openxmlformats.org/officeDocument/2006/relationships" name="Catatan Harian" sheetId="2" r:id="R01a74370f9ca457c"/>
    <x:sheet xmlns:r="http://schemas.openxmlformats.org/officeDocument/2006/relationships" name="Ringkasan" sheetId="3" r:id="R502695b492c1439e"/>
    <x:sheet xmlns:r="http://schemas.openxmlformats.org/officeDocument/2006/relationships" name="Referensi" sheetId="4" r:id="R3279fadec05342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[$Rp-421] #,##0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67D7F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</x:fills>
  <x:borders count="8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</x:border>
    <x:border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bottom style="thin">
        <x:color rgb="FFD9E2F3"/>
      </x:bottom>
    </x:border>
    <x:border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0" fillId="4" borderId="2" xfId="0" applyNumberFormat="1" applyFont="1" applyFill="1" applyBorder="1"/>
    <x:xf numFmtId="0" fontId="0" fillId="4" borderId="3" xfId="0" applyNumberFormat="1" applyFont="1" applyFill="1" applyBorder="1"/>
    <x:xf numFmtId="0" fontId="0" fillId="4" borderId="4" xfId="0" applyNumberFormat="1" applyFont="1" applyFill="1" applyBorder="1"/>
    <x:xf numFmtId="0" fontId="0" fillId="4" borderId="5" xfId="0" applyNumberFormat="1" applyFont="1" applyFill="1" applyBorder="1"/>
    <x:xf numFmtId="0" fontId="0" fillId="4" borderId="6" xfId="0" applyNumberFormat="1" applyFont="1" applyFill="1" applyBorder="1"/>
    <x:xf numFmtId="0" fontId="0" fillId="4" borderId="7" xfId="0" applyNumberFormat="1" applyFont="1" applyFill="1" applyBorder="1"/>
    <x:xf numFmtId="0" fontId="0" fillId="4" borderId="2" xfId="0" applyNumberFormat="1" applyFont="1" applyFill="1" applyBorder="1" applyAlignment="1">
      <x:alignment wrapText="1"/>
    </x:xf>
    <x:xf numFmtId="0" fontId="0" fillId="4" borderId="3" xfId="0" applyNumberFormat="1" applyFont="1" applyFill="1" applyBorder="1" applyAlignment="1">
      <x:alignment wrapText="1"/>
    </x:xf>
    <x:xf numFmtId="0" fontId="0" fillId="4" borderId="4" xfId="0" applyNumberFormat="1" applyFont="1" applyFill="1" applyBorder="1" applyAlignment="1">
      <x:alignment wrapText="1"/>
    </x:xf>
    <x:xf numFmtId="0" fontId="0" fillId="4" borderId="5" xfId="0" applyNumberFormat="1" applyFont="1" applyFill="1" applyBorder="1" applyAlignment="1">
      <x:alignment wrapText="1"/>
    </x:xf>
    <x:xf numFmtId="0" fontId="0" fillId="4" borderId="6" xfId="0" applyNumberFormat="1" applyFont="1" applyFill="1" applyBorder="1" applyAlignment="1">
      <x:alignment wrapText="1"/>
    </x:xf>
    <x:xf numFmtId="0" fontId="0" fillId="4" borderId="7" xfId="0" applyNumberFormat="1" applyFont="1" applyFill="1" applyBorder="1" applyAlignment="1">
      <x:alignment wrapText="1"/>
    </x:xf>
    <x:xf numFmtId="0" fontId="0" fillId="4" borderId="2" xfId="0" applyNumberFormat="1" applyFont="1" applyFill="1" applyBorder="1" applyAlignment="1">
      <x:alignment vertical="top" wrapText="1"/>
    </x:xf>
    <x:xf numFmtId="0" fontId="0" fillId="4" borderId="3" xfId="0" applyNumberFormat="1" applyFont="1" applyFill="1" applyBorder="1" applyAlignment="1">
      <x:alignment vertical="top" wrapText="1"/>
    </x:xf>
    <x:xf numFmtId="0" fontId="0" fillId="4" borderId="4" xfId="0" applyNumberFormat="1" applyFont="1" applyFill="1" applyBorder="1" applyAlignment="1">
      <x:alignment vertical="top" wrapText="1"/>
    </x:xf>
    <x:xf numFmtId="0" fontId="0" fillId="4" borderId="5" xfId="0" applyNumberFormat="1" applyFont="1" applyFill="1" applyBorder="1" applyAlignment="1">
      <x:alignment vertical="top" wrapText="1"/>
    </x:xf>
    <x:xf numFmtId="0" fontId="0" fillId="4" borderId="6" xfId="0" applyNumberFormat="1" applyFont="1" applyFill="1" applyBorder="1" applyAlignment="1">
      <x:alignment vertical="top" wrapText="1"/>
    </x:xf>
    <x:xf numFmtId="0" fontId="0" fillId="4" borderId="7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vertical="top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5" borderId="0" xfId="0" applyNumberFormat="1" applyFont="1" applyFill="1" applyBorder="1"/>
    <x:xf numFmtId="201" fontId="0" fillId="5" borderId="0" xfId="0" applyNumberFormat="1" applyFont="1" applyFill="1" applyBorder="1"/>
    <x:xf numFmtId="200" fontId="0" fillId="5" borderId="1" xfId="0" applyNumberFormat="1" applyFont="1" applyFill="1" applyBorder="1"/>
    <x:xf numFmtId="201" fontId="0" fillId="5" borderId="1" xfId="0" applyNumberFormat="1" applyFont="1" applyFill="1" applyBorder="1"/>
    <x:xf numFmtId="200" fontId="0" fillId="5" borderId="1" xfId="0" applyNumberFormat="1" applyFont="1" applyFill="1" applyBorder="1" applyAlignment="1">
      <x:alignment vertical="top"/>
    </x:xf>
    <x:xf numFmtId="201" fontId="0" fillId="5" borderId="1" xfId="0" applyNumberFormat="1" applyFont="1" applyFill="1" applyBorder="1" applyAlignment="1">
      <x:alignment vertical="top"/>
    </x:xf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200" fontId="0" fillId="0" borderId="1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56772e1a5f445a" /><Relationship Type="http://schemas.openxmlformats.org/officeDocument/2006/relationships/theme" Target="/xl/theme/theme1.xml" Id="R068b4e1b2c714f53" /><Relationship Type="http://schemas.openxmlformats.org/officeDocument/2006/relationships/sharedStrings" Target="/xl/sharedStrings.xml" Id="Rb9f3fc1b7f9941ba" /><Relationship Type="http://schemas.openxmlformats.org/officeDocument/2006/relationships/worksheet" Target="/xl/worksheets/sheet1.xml" Id="R3cb28c85f6134d83" /><Relationship Type="http://schemas.openxmlformats.org/officeDocument/2006/relationships/worksheet" Target="/xl/worksheets/sheet2.xml" Id="R01a74370f9ca457c" /><Relationship Type="http://schemas.openxmlformats.org/officeDocument/2006/relationships/worksheet" Target="/xl/worksheets/sheet3.xml" Id="R502695b492c1439e" /><Relationship Type="http://schemas.openxmlformats.org/officeDocument/2006/relationships/worksheet" Target="/xl/worksheets/sheet4.xml" Id="R3279fadec05342c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4a068d763e64c5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Pengeluaran per Kategori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Total Bulan</c:v>
          </c:tx>
          <c:cat>
            <c:strRef>
              <c:f>'Ringkasan'!$A$10:$A$13</c:f>
              <c:strCache>
                <c:ptCount val="0"/>
              </c:strCache>
            </c:strRef>
          </c:cat>
          <c:val>
            <c:numRef>
              <c:f>'Ringkasan'!$B$10:$B$13</c:f>
              <c:numCache>
                <c:formatCode>[$Rp-421] 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[$Rp-421] 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2</xdr:row>
      <xdr:rowOff>0</xdr:rowOff>
    </xdr:from>
    <xdr:to>
      <xdr:col>10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4a068d763e64c5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2" name="DailyExpensesTable" displayName="DailyExpensesTable" ref="A3:I10" headerRowCount="1" totalsRowCount="0" totalsRowShown="0">
  <x:tableColumns count="9">
    <x:tableColumn id="1" name="Tanggal"/>
    <x:tableColumn id="2" name="Keterangan"/>
    <x:tableColumn id="3" name="Kategori"/>
    <x:tableColumn id="4" name="Metode"/>
    <x:tableColumn id="5" name="Nominal"/>
    <x:tableColumn id="6" name="Catatan"/>
    <x:tableColumn id="7" name="Hari"/>
    <x:tableColumn id="8" name="Bulan"/>
    <x:tableColumn id="9" name="Peringatan Inpu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DailyExpenseReferenceTable" displayName="DailyExpenseReferenceTable" ref="A3:C8" headerRowCount="1" totalsRowCount="0" totalsRowShown="0">
  <x:tableColumns count="3">
    <x:tableColumn id="1" name="Kategori"/>
    <x:tableColumn id="2" name="Metode Pembayaran"/>
    <x:tableColumn id="3" name="Catata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fc62c8b2a5e43f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3516e2c00e494e1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08cdb89c65284f4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56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28" customHeight="1">
      <x:c r="A1" s="3" t="str">
        <x:v>Template Catatan Pengeluaran Harian</x:v>
      </x:c>
      <x:c r="B1" s="3" t="str">
        <x:v>Template Catatan Pengeluaran Harian</x:v>
      </x:c>
      <x:c r="C1" s="3" t="str">
        <x:v>Template Catatan Pengeluaran Harian</x:v>
      </x:c>
      <x:c r="D1" s="3" t="str">
        <x:v>Template Catatan Pengeluaran Harian</x:v>
      </x:c>
      <x:c r="E1" s="3" t="str">
        <x:v>Template Catatan Pengeluaran Harian</x:v>
      </x:c>
      <x:c r="F1" s="3" t="str">
        <x:v>Template Catatan Pengeluaran Harian</x:v>
      </x:c>
    </x:row>
    <x:row r="3">
      <x:c r="A3" s="5" t="str">
        <x:v>Mulai dari sini</x:v>
      </x:c>
      <x:c r="B3" s="5" t="str">
        <x:v>Mulai dari sini</x:v>
      </x:c>
      <x:c r="C3" s="5" t="str">
        <x:v>Mulai dari sini</x:v>
      </x:c>
      <x:c r="D3" s="5" t="str">
        <x:v>Mulai dari sini</x:v>
      </x:c>
      <x:c r="E3" s="5" t="str">
        <x:v>Mulai dari sini</x:v>
      </x:c>
      <x:c r="F3" s="5" t="str">
        <x:v>Mulai dari sini</x:v>
      </x:c>
    </x:row>
    <x:row r="5">
      <x:c r="A5" s="7" t="n">
        <x:v>1</x:v>
      </x:c>
      <x:c r="B5" s="8" t="str">
        <x:v>Catat satu pengeluaran per baris pada Catatan Harian; file ini adalah log kebiasaan harian, bukan budget bulanan.</x:v>
      </x:c>
      <x:c r="C5" s="7"/>
      <x:c r="D5" s="7"/>
      <x:c r="E5" s="7"/>
      <x:c r="F5" s="7"/>
    </x:row>
    <x:row r="6">
      <x:c r="A6" s="7" t="n">
        <x:v>2</x:v>
      </x:c>
      <x:c r="B6" s="8" t="str">
        <x:v>Pilih kategori dan metode pembayaran dari dropdown agar ringkasan tetap konsisten.</x:v>
      </x:c>
      <x:c r="C6" s="7"/>
      <x:c r="D6" s="7"/>
      <x:c r="E6" s="7"/>
      <x:c r="F6" s="7"/>
    </x:row>
    <x:row r="7">
      <x:c r="A7" s="7" t="n">
        <x:v>3</x:v>
      </x:c>
      <x:c r="B7" s="8" t="str">
        <x:v>Isi nominal sebagai angka positif dan gunakan tanggal Excel yang valid.</x:v>
      </x:c>
      <x:c r="C7" s="7"/>
      <x:c r="D7" s="7"/>
      <x:c r="E7" s="7"/>
      <x:c r="F7" s="7"/>
    </x:row>
    <x:row r="8">
      <x:c r="A8" s="7" t="n">
        <x:v>4</x:v>
      </x:c>
      <x:c r="B8" s="8" t="str">
        <x:v>Baca total harian, ringkasan bulan, dan kategori dari satu sumber data yang sama.</x:v>
      </x:c>
      <x:c r="C8" s="7"/>
      <x:c r="D8" s="7"/>
      <x:c r="E8" s="7"/>
      <x:c r="F8" s="7"/>
    </x:row>
    <x:row r="11">
      <x:c r="A11" s="5" t="str">
        <x:v>Batasan penggunaan</x:v>
      </x:c>
      <x:c r="B11" s="5" t="str">
        <x:v>Batasan penggunaan</x:v>
      </x:c>
      <x:c r="C11" s="5" t="str">
        <x:v>Batasan penggunaan</x:v>
      </x:c>
      <x:c r="D11" s="5" t="str">
        <x:v>Batasan penggunaan</x:v>
      </x:c>
      <x:c r="E11" s="5" t="str">
        <x:v>Batasan penggunaan</x:v>
      </x:c>
      <x:c r="F11" s="5" t="str">
        <x:v>Batasan penggunaan</x:v>
      </x:c>
    </x:row>
    <x:row r="13">
      <x:c r="A13" s="22" t="str">
        <x:v>Template ini membantu pencatatan pengeluaran sehari-hari. Template ini bukan saran keuangan, rekomendasi tabungan, rekomendasi kredit, atau rekomendasi investasi.</x:v>
      </x:c>
      <x:c r="B13" s="23" t="str">
        <x:v>Template ini membantu pencatatan pengeluaran sehari-hari. Template ini bukan saran keuangan, rekomendasi tabungan, rekomendasi kredit, atau rekomendasi investasi.</x:v>
      </x:c>
      <x:c r="C13" s="23" t="str">
        <x:v>Template ini membantu pencatatan pengeluaran sehari-hari. Template ini bukan saran keuangan, rekomendasi tabungan, rekomendasi kredit, atau rekomendasi investasi.</x:v>
      </x:c>
      <x:c r="D13" s="23" t="str">
        <x:v>Template ini membantu pencatatan pengeluaran sehari-hari. Template ini bukan saran keuangan, rekomendasi tabungan, rekomendasi kredit, atau rekomendasi investasi.</x:v>
      </x:c>
      <x:c r="E13" s="23" t="str">
        <x:v>Template ini membantu pencatatan pengeluaran sehari-hari. Template ini bukan saran keuangan, rekomendasi tabungan, rekomendasi kredit, atau rekomendasi investasi.</x:v>
      </x:c>
      <x:c r="F13" s="24" t="str">
        <x:v>Template ini membantu pencatatan pengeluaran sehari-hari. Template ini bukan saran keuangan, rekomendasi tabungan, rekomendasi kredit, atau rekomendasi investasi.</x:v>
      </x:c>
    </x:row>
    <x:row r="14">
      <x:c r="A14" s="25" t="str">
        <x:v>Template ini membantu pencatatan pengeluaran sehari-hari. Template ini bukan saran keuangan, rekomendasi tabungan, rekomendasi kredit, atau rekomendasi investasi.</x:v>
      </x:c>
      <x:c r="B14" s="26" t="str">
        <x:v>Template ini membantu pencatatan pengeluaran sehari-hari. Template ini bukan saran keuangan, rekomendasi tabungan, rekomendasi kredit, atau rekomendasi investasi.</x:v>
      </x:c>
      <x:c r="C14" s="26" t="str">
        <x:v>Template ini membantu pencatatan pengeluaran sehari-hari. Template ini bukan saran keuangan, rekomendasi tabungan, rekomendasi kredit, atau rekomendasi investasi.</x:v>
      </x:c>
      <x:c r="D14" s="26" t="str">
        <x:v>Template ini membantu pencatatan pengeluaran sehari-hari. Template ini bukan saran keuangan, rekomendasi tabungan, rekomendasi kredit, atau rekomendasi investasi.</x:v>
      </x:c>
      <x:c r="E14" s="26" t="str">
        <x:v>Template ini membantu pencatatan pengeluaran sehari-hari. Template ini bukan saran keuangan, rekomendasi tabungan, rekomendasi kredit, atau rekomendasi investasi.</x:v>
      </x:c>
      <x:c r="F14" s="27" t="str">
        <x:v>Template ini membantu pencatatan pengeluaran sehari-hari. Template ini bukan saran keuangan, rekomendasi tabungan, rekomendasi kredit, atau rekomendasi investasi.</x:v>
      </x:c>
    </x:row>
  </x:sheetData>
  <x:mergeCells>
    <x:mergeCell ref="A1:F1"/>
    <x:mergeCell ref="A3:F3"/>
    <x:mergeCell ref="B5:F5"/>
    <x:mergeCell ref="B6:F6"/>
    <x:mergeCell ref="B7:F7"/>
    <x:mergeCell ref="B8:F8"/>
    <x:mergeCell ref="A11:F11"/>
    <x:mergeCell ref="A13:F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20" hidden="0" customWidth="1"/>
    <x:col min="4" max="4" width="20" hidden="0" customWidth="1"/>
    <x:col min="5" max="5" width="16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</x:cols>
  <x:sheetData>
    <x:row r="1" ht="28" customHeight="1">
      <x:c r="A1" s="3" t="str">
        <x:v>CATATAN PENGELUARAN HARIAN</x:v>
      </x:c>
      <x:c r="B1" s="3" t="str">
        <x:v>CATATAN PENGELUARAN HARIAN</x:v>
      </x:c>
      <x:c r="C1" s="3" t="str">
        <x:v>CATATAN PENGELUARAN HARIAN</x:v>
      </x:c>
      <x:c r="D1" s="3" t="str">
        <x:v>CATATAN PENGELUARAN HARIAN</x:v>
      </x:c>
      <x:c r="E1" s="3" t="str">
        <x:v>CATATAN PENGELUARAN HARIAN</x:v>
      </x:c>
      <x:c r="F1" s="3" t="str">
        <x:v>CATATAN PENGELUARAN HARIAN</x:v>
      </x:c>
      <x:c r="G1" s="3" t="str">
        <x:v>CATATAN PENGELUARAN HARIAN</x:v>
      </x:c>
      <x:c r="H1" s="3" t="str">
        <x:v>CATATAN PENGELUARAN HARIAN</x:v>
      </x:c>
      <x:c r="I1" s="3" t="str">
        <x:v>CATATAN PENGELUARAN HARIAN</x:v>
      </x:c>
    </x:row>
    <x:row r="3">
      <x:c r="A3" s="31" t="str">
        <x:v>Tanggal</x:v>
      </x:c>
      <x:c r="B3" s="31" t="str">
        <x:v>Keterangan</x:v>
      </x:c>
      <x:c r="C3" s="31" t="str">
        <x:v>Kategori</x:v>
      </x:c>
      <x:c r="D3" s="31" t="str">
        <x:v>Metode</x:v>
      </x:c>
      <x:c r="E3" s="31" t="str">
        <x:v>Nominal</x:v>
      </x:c>
      <x:c r="F3" s="31" t="str">
        <x:v>Catatan</x:v>
      </x:c>
      <x:c r="G3" s="31" t="str">
        <x:v>Hari</x:v>
      </x:c>
      <x:c r="H3" s="31" t="str">
        <x:v>Bulan</x:v>
      </x:c>
      <x:c r="I3" s="31" t="str">
        <x:v>Peringatan Input</x:v>
      </x:c>
    </x:row>
    <x:row r="4">
      <x:c r="A4" s="41" t="n">
        <x:v>46216</x:v>
      </x:c>
      <x:c r="B4" s="34" t="str">
        <x:v>Sarapan kerja</x:v>
      </x:c>
      <x:c r="C4" s="34" t="str">
        <x:v>Makan dan Minum</x:v>
      </x:c>
      <x:c r="D4" s="34" t="str">
        <x:v>Tunai</x:v>
      </x:c>
      <x:c r="E4" s="42" t="n">
        <x:v>25000</x:v>
      </x:c>
      <x:c r="F4" s="34" t="str">
        <x:v>Contoh</x:v>
      </x:c>
      <x:c r="G4" s="34" t="str">
        <x:f>IF(A4="","",TEXT(A4,"dddd"))</x:f>
        <x:v>Monday</x:v>
      </x:c>
      <x:c r="H4" s="34" t="str">
        <x:f>IF(A4="","",TEXT(A4,"yyyy-mm"))</x:f>
        <x:v>2026-07</x:v>
      </x:c>
      <x:c r="I4" s="34" t="str">
        <x:f>IF(E4="","",IF(E4&lt;0,"Cek nominal negatif",""))</x:f>
      </x:c>
    </x:row>
    <x:row r="5">
      <x:c r="A5" s="41" t="n">
        <x:v>46216</x:v>
      </x:c>
      <x:c r="B5" s="34" t="str">
        <x:v>Bus kota</x:v>
      </x:c>
      <x:c r="C5" s="34" t="str">
        <x:v>Transportasi</x:v>
      </x:c>
      <x:c r="D5" s="34" t="str">
        <x:v>Kartu</x:v>
      </x:c>
      <x:c r="E5" s="42" t="n">
        <x:v>12000</x:v>
      </x:c>
      <x:c r="F5" s="34" t="str">
        <x:v>Contoh</x:v>
      </x:c>
      <x:c r="G5" s="34" t="str">
        <x:f>IF(A5="","",TEXT(A5,"dddd"))</x:f>
        <x:v>Monday</x:v>
      </x:c>
      <x:c r="H5" s="34" t="str">
        <x:f>IF(A5="","",TEXT(A5,"yyyy-mm"))</x:f>
        <x:v>2026-07</x:v>
      </x:c>
      <x:c r="I5" s="34" t="str">
        <x:f>IF(E5="","",IF(E5&lt;0,"Cek nominal negatif",""))</x:f>
      </x:c>
    </x:row>
    <x:row r="6">
      <x:c r="A6" s="41" t="n">
        <x:v>46217</x:v>
      </x:c>
      <x:c r="B6" s="34" t="str">
        <x:v>Belanja rumah</x:v>
      </x:c>
      <x:c r="C6" s="34" t="str">
        <x:v>Kebutuhan Rumah</x:v>
      </x:c>
      <x:c r="D6" s="34" t="str">
        <x:v>QRIS</x:v>
      </x:c>
      <x:c r="E6" s="42" t="n">
        <x:v>86000</x:v>
      </x:c>
      <x:c r="F6" s="34" t="str">
        <x:v>Contoh</x:v>
      </x:c>
      <x:c r="G6" s="34" t="str">
        <x:f>IF(A6="","",TEXT(A6,"dddd"))</x:f>
        <x:v>Tuesday</x:v>
      </x:c>
      <x:c r="H6" s="34" t="str">
        <x:f>IF(A6="","",TEXT(A6,"yyyy-mm"))</x:f>
        <x:v>2026-07</x:v>
      </x:c>
      <x:c r="I6" s="34" t="str">
        <x:f>IF(E6="","",IF(E6&lt;0,"Cek nominal negatif",""))</x:f>
      </x:c>
    </x:row>
    <x:row r="7">
      <x:c r="A7" s="41" t="n">
        <x:v>46217</x:v>
      </x:c>
      <x:c r="B7" s="34" t="str">
        <x:v>Obat ringan</x:v>
      </x:c>
      <x:c r="C7" s="34" t="str">
        <x:v>Kesehatan</x:v>
      </x:c>
      <x:c r="D7" s="34" t="str">
        <x:v>Transfer</x:v>
      </x:c>
      <x:c r="E7" s="42" t="n">
        <x:v>18000</x:v>
      </x:c>
      <x:c r="F7" s="34" t="str">
        <x:v>Contoh</x:v>
      </x:c>
      <x:c r="G7" s="34" t="str">
        <x:f>IF(A7="","",TEXT(A7,"dddd"))</x:f>
        <x:v>Tuesday</x:v>
      </x:c>
      <x:c r="H7" s="34" t="str">
        <x:f>IF(A7="","",TEXT(A7,"yyyy-mm"))</x:f>
        <x:v>2026-07</x:v>
      </x:c>
      <x:c r="I7" s="34" t="str">
        <x:f>IF(E7="","",IF(E7&lt;0,"Cek nominal negatif",""))</x:f>
      </x:c>
    </x:row>
    <x:row r="8">
      <x:c r="A8" s="41" t="n">
        <x:v>46218</x:v>
      </x:c>
      <x:c r="B8" s="34" t="str">
        <x:v>Kopi</x:v>
      </x:c>
      <x:c r="C8" s="34" t="str">
        <x:v>Makan dan Minum</x:v>
      </x:c>
      <x:c r="D8" s="34" t="str">
        <x:v>Tunai</x:v>
      </x:c>
      <x:c r="E8" s="42" t="n">
        <x:v>18000</x:v>
      </x:c>
      <x:c r="F8" s="34" t="str">
        <x:v>Contoh</x:v>
      </x:c>
      <x:c r="G8" s="34" t="str">
        <x:f>IF(A8="","",TEXT(A8,"dddd"))</x:f>
        <x:v>Wednesday</x:v>
      </x:c>
      <x:c r="H8" s="34" t="str">
        <x:f>IF(A8="","",TEXT(A8,"yyyy-mm"))</x:f>
        <x:v>2026-07</x:v>
      </x:c>
      <x:c r="I8" s="34" t="str">
        <x:f>IF(E8="","",IF(E8&lt;0,"Cek nominal negatif",""))</x:f>
      </x:c>
    </x:row>
    <x:row r="9">
      <x:c r="A9" s="41"/>
      <x:c r="B9" s="34" t="str"/>
      <x:c r="C9" s="34" t="str"/>
      <x:c r="D9" s="34" t="str"/>
      <x:c r="E9" s="42"/>
      <x:c r="F9" s="34" t="str">
        <x:v>Baris siap pakai</x:v>
      </x:c>
      <x:c r="G9" s="34" t="str">
        <x:f>IF(A9="","",TEXT(A9,"dddd"))</x:f>
      </x:c>
      <x:c r="H9" s="34" t="str">
        <x:f>IF(A9="","",TEXT(A9,"yyyy-mm"))</x:f>
      </x:c>
      <x:c r="I9" s="34" t="str">
        <x:f>IF(E9="","",IF(E9&lt;0,"Cek nominal negatif",""))</x:f>
      </x:c>
    </x:row>
    <x:row r="10">
      <x:c r="A10" s="41"/>
      <x:c r="B10" s="34" t="str"/>
      <x:c r="C10" s="34" t="str"/>
      <x:c r="D10" s="34" t="str"/>
      <x:c r="E10" s="42"/>
      <x:c r="F10" s="34" t="str"/>
      <x:c r="G10" s="34" t="str">
        <x:f>IF(A10="","",TEXT(A10,"dddd"))</x:f>
      </x:c>
      <x:c r="H10" s="34" t="str">
        <x:f>IF(A10="","",TEXT(A10,"yyyy-mm"))</x:f>
      </x:c>
      <x:c r="I10" s="34" t="str">
        <x:f>IF(E10="","",IF(E10&lt;0,"Cek nominal negatif",""))</x:f>
      </x:c>
    </x:row>
  </x:sheetData>
  <x:mergeCells>
    <x:mergeCell ref="A1:I1"/>
  </x:mergeCells>
  <x:dataValidations count="3">
    <x:dataValidation type="list" sqref="C4:C200">
      <x:formula1>'Referensi'!$A$4:$A$8</x:formula1>
    </x:dataValidation>
    <x:dataValidation type="list" sqref="D4:D200">
      <x:formula1>'Referensi'!$B$4:$B$7</x:formula1>
    </x:dataValidation>
    <x:dataValidation type="decimal" operator="greaterThanOrEqual" sqref="E4:E200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fc62c8b2a5e43f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28" customHeight="1">
      <x:c r="A1" s="3" t="str">
        <x:v>RINGKASAN PENGELUARAN HARIAN</x:v>
      </x:c>
      <x:c r="B1" s="3" t="str">
        <x:v>RINGKASAN PENGELUARAN HARIAN</x:v>
      </x:c>
      <x:c r="C1" s="3" t="str">
        <x:v>RINGKASAN PENGELUARAN HARIAN</x:v>
      </x:c>
      <x:c r="D1" s="3" t="str">
        <x:v>RINGKASAN PENGELUARAN HARIAN</x:v>
      </x:c>
      <x:c r="E1" s="3" t="str">
        <x:v>RINGKASAN PENGELUARAN HARIAN</x:v>
      </x:c>
      <x:c r="F1" s="3" t="str">
        <x:v>RINGKASAN PENGELUARAN HARIAN</x:v>
      </x:c>
      <x:c r="G1" s="3" t="str">
        <x:v>RINGKASAN PENGELUARAN HARIAN</x:v>
      </x:c>
      <x:c r="H1" s="3" t="str">
        <x:v>RINGKASAN PENGELUARAN HARIAN</x:v>
      </x:c>
      <x:c r="I1" s="3" t="str">
        <x:v>RINGKASAN PENGELUARAN HARIAN</x:v>
      </x:c>
      <x:c r="J1" s="3" t="str">
        <x:v>RINGKASAN PENGELUARAN HARIAN</x:v>
      </x:c>
    </x:row>
    <x:row r="3">
      <x:c r="A3" s="7" t="str">
        <x:v>Tanggal Dipilih</x:v>
      </x:c>
      <x:c r="B3" s="45" t="n">
        <x:v>46217</x:v>
      </x:c>
    </x:row>
    <x:row r="4">
      <x:c r="A4" s="7" t="str">
        <x:v>Total Hari Ini</x:v>
      </x:c>
      <x:c r="B4" s="46" t="n">
        <x:f>SUMIFS('Catatan Harian'!$E$4:$E$200,'Catatan Harian'!$A$4:$A$200,B3)</x:f>
        <x:v>104000</x:v>
      </x:c>
    </x:row>
    <x:row r="5">
      <x:c r="A5" s="7" t="str">
        <x:v>Bulan Dipilih</x:v>
      </x:c>
      <x:c r="B5" s="46" t="str">
        <x:v>2026-07</x:v>
      </x:c>
    </x:row>
    <x:row r="6">
      <x:c r="A6" s="7" t="str">
        <x:v>Total Bulan</x:v>
      </x:c>
      <x:c r="B6" s="46" t="n">
        <x:f>SUMIFS('Catatan Harian'!$E$4:$E$200,'Catatan Harian'!$H$4:$H$200,B5)</x:f>
        <x:v>159000</x:v>
      </x:c>
    </x:row>
    <x:row r="9">
      <x:c r="A9" s="31" t="str">
        <x:v>Kategori</x:v>
      </x:c>
      <x:c r="B9" s="31" t="str">
        <x:v>Total Bulan</x:v>
      </x:c>
    </x:row>
    <x:row r="10">
      <x:c r="A10" s="7" t="str">
        <x:v>Makan dan Minum</x:v>
      </x:c>
      <x:c r="B10" s="46" t="n">
        <x:f>SUMIFS('Catatan Harian'!$E$4:$E$200,'Catatan Harian'!$C$4:$C$200,A10,'Catatan Harian'!$H$4:$H$200,$B$5)</x:f>
        <x:v>43000</x:v>
      </x:c>
    </x:row>
    <x:row r="11">
      <x:c r="A11" s="7" t="str">
        <x:v>Transportasi</x:v>
      </x:c>
      <x:c r="B11" s="46" t="n">
        <x:f>SUMIFS('Catatan Harian'!$E$4:$E$200,'Catatan Harian'!$C$4:$C$200,A11,'Catatan Harian'!$H$4:$H$200,$B$5)</x:f>
        <x:v>12000</x:v>
      </x:c>
    </x:row>
    <x:row r="12">
      <x:c r="A12" s="7" t="str">
        <x:v>Kebutuhan Rumah</x:v>
      </x:c>
      <x:c r="B12" s="46" t="n">
        <x:f>SUMIFS('Catatan Harian'!$E$4:$E$200,'Catatan Harian'!$C$4:$C$200,A12,'Catatan Harian'!$H$4:$H$200,$B$5)</x:f>
        <x:v>86000</x:v>
      </x:c>
    </x:row>
    <x:row r="13">
      <x:c r="A13" s="7" t="str">
        <x:v>Kesehatan</x:v>
      </x:c>
      <x:c r="B13" s="46" t="n">
        <x:f>SUMIFS('Catatan Harian'!$E$4:$E$200,'Catatan Harian'!$C$4:$C$200,A13,'Catatan Harian'!$H$4:$H$200,$B$5)</x:f>
        <x:v>18000</x:v>
      </x:c>
    </x:row>
  </x:sheetData>
  <x:mergeCells>
    <x:mergeCell ref="A1:J1"/>
  </x:mergeCells>
  <x:pageMargins left="0.7" right="0.7" top="0.75" bottom="0.75" header="0.3" footer="0.3"/>
  <x:drawing xmlns:r="http://schemas.openxmlformats.org/officeDocument/2006/relationships" r:id="R3516e2c00e494e15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</x:cols>
  <x:sheetData>
    <x:row r="1" ht="28" customHeight="1">
      <x:c r="A1" s="3" t="str">
        <x:v>REFERENSI CATATAN HARIAN</x:v>
      </x:c>
      <x:c r="B1" s="3" t="str">
        <x:v>REFERENSI CATATAN HARIAN</x:v>
      </x:c>
      <x:c r="C1" s="3" t="str">
        <x:v>REFERENSI CATATAN HARIAN</x:v>
      </x:c>
    </x:row>
    <x:row r="3">
      <x:c r="A3" s="31" t="str">
        <x:v>Kategori</x:v>
      </x:c>
      <x:c r="B3" s="31" t="str">
        <x:v>Metode Pembayaran</x:v>
      </x:c>
      <x:c r="C3" s="31" t="str">
        <x:v>Catatan</x:v>
      </x:c>
    </x:row>
    <x:row r="4">
      <x:c r="A4" s="34" t="str">
        <x:v>Makan dan Minum</x:v>
      </x:c>
      <x:c r="B4" s="34" t="str">
        <x:v>Tunai</x:v>
      </x:c>
      <x:c r="C4" s="34" t="str">
        <x:v>Daftar dapat disesuaikan</x:v>
      </x:c>
    </x:row>
    <x:row r="5">
      <x:c r="A5" s="34" t="str">
        <x:v>Transportasi</x:v>
      </x:c>
      <x:c r="B5" s="34" t="str">
        <x:v>Transfer</x:v>
      </x:c>
      <x:c r="C5" s="34" t="str"/>
    </x:row>
    <x:row r="6">
      <x:c r="A6" s="34" t="str">
        <x:v>Kebutuhan Rumah</x:v>
      </x:c>
      <x:c r="B6" s="34" t="str">
        <x:v>QRIS</x:v>
      </x:c>
      <x:c r="C6" s="34" t="str"/>
    </x:row>
    <x:row r="7">
      <x:c r="A7" s="34" t="str">
        <x:v>Kesehatan</x:v>
      </x:c>
      <x:c r="B7" s="34" t="str">
        <x:v>Kartu</x:v>
      </x:c>
      <x:c r="C7" s="34" t="str"/>
    </x:row>
    <x:row r="8">
      <x:c r="A8" s="34" t="str">
        <x:v>Lainnya</x:v>
      </x:c>
      <x:c r="B8" s="34" t="str"/>
      <x:c r="C8" s="34" t="str"/>
    </x:row>
  </x:sheetData>
  <x:mergeCells>
    <x:mergeCell ref="A1:C1"/>
  </x:mergeCells>
  <x:pageMargins left="0.7" right="0.7" top="0.75" bottom="0.75" header="0.3" footer="0.3"/>
  <x:tableParts count="1">
    <x:tablePart xmlns:r="http://schemas.openxmlformats.org/officeDocument/2006/relationships" r:id="R08cdb89c65284f4a"/>
  </x:tableParts>
</x:worksheet>
</file>