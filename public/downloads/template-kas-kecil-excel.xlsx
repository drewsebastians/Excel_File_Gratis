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21ba52c5bc49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d982870dd5664e65"/>
    <x:sheet xmlns:r="http://schemas.openxmlformats.org/officeDocument/2006/relationships" name="Catatan Kas Kecil" sheetId="2" r:id="R01bddaf8f0734ed4"/>
    <x:sheet xmlns:r="http://schemas.openxmlformats.org/officeDocument/2006/relationships" name="Ringkasan" sheetId="3" r:id="R8afa7eecde5944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[$Rp-421] 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DDEFEF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1" fontId="0" fillId="5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2" fillId="6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0" fillId="6" borderId="1" xfId="0" applyNumberFormat="1" applyFont="1" applyFill="1" applyBorder="1"/>
    <x:xf numFmtId="201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a9ace702694f2d" /><Relationship Type="http://schemas.openxmlformats.org/officeDocument/2006/relationships/theme" Target="/xl/theme/theme1.xml" Id="R7fa4a770781d4bfe" /><Relationship Type="http://schemas.openxmlformats.org/officeDocument/2006/relationships/sharedStrings" Target="/xl/sharedStrings.xml" Id="R96e7ec4a948544ad" /><Relationship Type="http://schemas.openxmlformats.org/officeDocument/2006/relationships/worksheet" Target="/xl/worksheets/sheet1.xml" Id="Rd982870dd5664e65" /><Relationship Type="http://schemas.openxmlformats.org/officeDocument/2006/relationships/worksheet" Target="/xl/worksheets/sheet2.xml" Id="R01bddaf8f0734ed4" /><Relationship Type="http://schemas.openxmlformats.org/officeDocument/2006/relationships/worksheet" Target="/xl/worksheets/sheet3.xml" Id="R8afa7eecde5944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608914958e49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Data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'Ringkasan'!$A$10:$A$13</c:f>
              <c:strCache>
                <c:ptCount val="0"/>
              </c:strCache>
            </c:strRef>
          </c:cat>
          <c:val>
            <c:numRef>
              <c:f>'Ringkasan'!$B$10:$B$13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608914958e49e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raftTemplate07" displayName="DraftTemplate07" ref="A3:G6" headerRowCount="1" totalsRowCount="0" totalsRowShown="0">
  <x:tableColumns count="7">
    <x:tableColumn id="1" name="Tanggal"/>
    <x:tableColumn id="2" name="Jenis"/>
    <x:tableColumn id="3" name="Kategori"/>
    <x:tableColumn id="4" name="Keterangan"/>
    <x:tableColumn id="5" name="Nominal"/>
    <x:tableColumn id="6" name="Bukti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c88a27ab1740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e3c94f1584e4c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5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8" customHeight="1">
      <x:c r="A1" s="3" t="str">
        <x:v>Template Kas Kecil Excel Gratis</x:v>
      </x:c>
      <x:c r="B1" s="3" t="str">
        <x:v>Template Kas Kecil Excel Gratis</x:v>
      </x:c>
      <x:c r="C1" s="3" t="str">
        <x:v>Template Kas Kecil Excel Gratis</x:v>
      </x:c>
      <x:c r="D1" s="3" t="str">
        <x:v>Template Kas Kecil Excel Gratis</x:v>
      </x:c>
      <x:c r="E1" s="3" t="str">
        <x:v>Template Kas Kecil Excel Gratis</x:v>
      </x:c>
      <x:c r="F1" s="3" t="str">
        <x:v>Template Kas Kecil Excel Gratis</x:v>
      </x:c>
    </x:row>
    <x:row r="3">
      <x:c r="A3" s="5" t="str">
        <x:v>Mulai dari sini</x:v>
      </x:c>
      <x:c r="B3" s="5" t="str">
        <x:v>Mulai dari sini</x:v>
      </x:c>
      <x:c r="C3" s="5" t="str">
        <x:v>Mulai dari sini</x:v>
      </x:c>
      <x:c r="D3" s="5" t="str">
        <x:v>Mulai dari sini</x:v>
      </x:c>
      <x:c r="E3" s="5" t="str">
        <x:v>Mulai dari sini</x:v>
      </x:c>
      <x:c r="F3" s="5" t="str">
        <x:v>Mulai dari sini</x:v>
      </x:c>
    </x:row>
    <x:row r="5">
      <x:c r="A5" s="8" t="n">
        <x:v>1</x:v>
      </x:c>
      <x:c r="B5" s="8" t="str">
        <x:v>Isi dana awal atau pengisian kembali sebagai Jenis Isi.</x:v>
      </x:c>
      <x:c r="C5" s="8"/>
      <x:c r="D5" s="8"/>
      <x:c r="E5" s="8"/>
      <x:c r="F5" s="8"/>
    </x:row>
    <x:row r="6">
      <x:c r="A6" s="8" t="n">
        <x:v>2</x:v>
      </x:c>
      <x:c r="B6" s="8" t="str">
        <x:v>Catat setiap pengeluaran kecil dan nomor bukti bila ada.</x:v>
      </x:c>
      <x:c r="C6" s="8"/>
      <x:c r="D6" s="8"/>
      <x:c r="E6" s="8"/>
      <x:c r="F6" s="8"/>
    </x:row>
    <x:row r="7">
      <x:c r="A7" s="8" t="n">
        <x:v>3</x:v>
      </x:c>
      <x:c r="B7" s="8" t="str">
        <x:v>Gunakan status untuk menandai transaksi yang sudah diperiksa.</x:v>
      </x:c>
      <x:c r="C7" s="8"/>
      <x:c r="D7" s="8"/>
      <x:c r="E7" s="8"/>
      <x:c r="F7" s="8"/>
    </x:row>
    <x:row r="8">
      <x:c r="A8" s="8" t="n">
        <x:v>4</x:v>
      </x:c>
      <x:c r="B8" s="8" t="str">
        <x:v>Cocokkan saldo ringkasan dengan uang fisik secara berkala.</x:v>
      </x:c>
      <x:c r="C8" s="8"/>
      <x:c r="D8" s="8"/>
      <x:c r="E8" s="8"/>
      <x:c r="F8" s="8"/>
    </x:row>
    <x:row r="11">
      <x:c r="A11" s="5" t="str">
        <x:v>Batasan penggunaan</x:v>
      </x:c>
      <x:c r="B11" s="5" t="str">
        <x:v>Batasan penggunaan</x:v>
      </x:c>
      <x:c r="C11" s="5" t="str">
        <x:v>Batasan penggunaan</x:v>
      </x:c>
      <x:c r="D11" s="5" t="str">
        <x:v>Batasan penggunaan</x:v>
      </x:c>
      <x:c r="E11" s="5" t="str">
        <x:v>Batasan penggunaan</x:v>
      </x:c>
      <x:c r="F11" s="5" t="str">
        <x:v>Batasan penggunaan</x:v>
      </x:c>
    </x:row>
    <x:row r="13">
      <x:c r="A13" s="22" t="str">
        <x:v>Saldo menjadi akurat hanya bila semua penerimaan dan pengeluaran kas kecil dicatat.</x:v>
      </x:c>
      <x:c r="B13" s="23"/>
      <x:c r="C13" s="23"/>
      <x:c r="D13" s="23"/>
      <x:c r="E13" s="23"/>
      <x:c r="F13" s="24"/>
    </x:row>
    <x:row r="14">
      <x:c r="A14" s="25"/>
      <x:c r="B14" s="26"/>
      <x:c r="C14" s="26"/>
      <x:c r="D14" s="26"/>
      <x:c r="E14" s="26"/>
      <x:c r="F14" s="27"/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</x:cols>
  <x:sheetData>
    <x:row r="1" ht="28" customHeight="1">
      <x:c r="A1" s="3" t="str">
        <x:v>TEMPLATE KAS KECIL EXCEL GRATIS</x:v>
      </x:c>
      <x:c r="B1" s="3" t="str">
        <x:v>TEMPLATE KAS KECIL EXCEL GRATIS</x:v>
      </x:c>
      <x:c r="C1" s="3" t="str">
        <x:v>TEMPLATE KAS KECIL EXCEL GRATIS</x:v>
      </x:c>
      <x:c r="D1" s="3" t="str">
        <x:v>TEMPLATE KAS KECIL EXCEL GRATIS</x:v>
      </x:c>
      <x:c r="E1" s="3" t="str">
        <x:v>TEMPLATE KAS KECIL EXCEL GRATIS</x:v>
      </x:c>
      <x:c r="F1" s="3" t="str">
        <x:v>TEMPLATE KAS KECIL EXCEL GRATIS</x:v>
      </x:c>
      <x:c r="G1" s="3" t="str">
        <x:v>TEMPLATE KAS KECIL EXCEL GRATIS</x:v>
      </x:c>
    </x:row>
    <x:row r="3">
      <x:c r="A3" s="31" t="str">
        <x:v>Tanggal</x:v>
      </x:c>
      <x:c r="B3" s="31" t="str">
        <x:v>Jenis</x:v>
      </x:c>
      <x:c r="C3" s="31" t="str">
        <x:v>Kategori</x:v>
      </x:c>
      <x:c r="D3" s="31" t="str">
        <x:v>Keterangan</x:v>
      </x:c>
      <x:c r="E3" s="31" t="str">
        <x:v>Nominal</x:v>
      </x:c>
      <x:c r="F3" s="31" t="str">
        <x:v>Bukti</x:v>
      </x:c>
      <x:c r="G3" s="31" t="str">
        <x:v>Status</x:v>
      </x:c>
    </x:row>
    <x:row r="4" ht="22" customHeight="1">
      <x:c r="A4" s="36" t="n">
        <x:v>46204</x:v>
      </x:c>
      <x:c r="B4" s="37" t="str">
        <x:v>Isi</x:v>
      </x:c>
      <x:c r="C4" s="37" t="str">
        <x:v>Dana awal</x:v>
      </x:c>
      <x:c r="D4" s="37" t="str">
        <x:v>Pengisian kas kecil</x:v>
      </x:c>
      <x:c r="E4" s="38" t="n">
        <x:v>500000</x:v>
      </x:c>
      <x:c r="F4" s="37" t="str">
        <x:v>KK-001</x:v>
      </x:c>
      <x:c r="G4" s="37" t="str">
        <x:v>Dicatat</x:v>
      </x:c>
    </x:row>
    <x:row r="5" ht="22" customHeight="1">
      <x:c r="A5" s="36" t="n">
        <x:v>46205</x:v>
      </x:c>
      <x:c r="B5" s="37" t="str">
        <x:v>Keluar</x:v>
      </x:c>
      <x:c r="C5" s="37" t="str">
        <x:v>ATK</x:v>
      </x:c>
      <x:c r="D5" s="37" t="str">
        <x:v>Beli pulpen dan kertas</x:v>
      </x:c>
      <x:c r="E5" s="38" t="n">
        <x:v>85000</x:v>
      </x:c>
      <x:c r="F5" s="37" t="str">
        <x:v>KK-002</x:v>
      </x:c>
      <x:c r="G5" s="37" t="str">
        <x:v>Dicatat</x:v>
      </x:c>
    </x:row>
    <x:row r="6" ht="22" customHeight="1">
      <x:c r="A6" s="36" t="n">
        <x:v>46207</x:v>
      </x:c>
      <x:c r="B6" s="37" t="str">
        <x:v>Keluar</x:v>
      </x:c>
      <x:c r="C6" s="37" t="str">
        <x:v>Transport</x:v>
      </x:c>
      <x:c r="D6" s="37" t="str">
        <x:v>Ojek pengiriman</x:v>
      </x:c>
      <x:c r="E6" s="38" t="n">
        <x:v>42000</x:v>
      </x:c>
      <x:c r="F6" s="37" t="str">
        <x:v>KK-003</x:v>
      </x:c>
      <x:c r="G6" s="37" t="str">
        <x:v>Dicatat</x:v>
      </x:c>
    </x:row>
  </x:sheetData>
  <x:mergeCells>
    <x:mergeCell ref="A1:G1"/>
  </x:mergeCells>
  <x:dataValidations count="1">
    <x:dataValidation type="list" sqref="G4:G120">
      <x:formula1>"Belum Mulai,Menunggu,Berjalan,Diproses,Terjadwal,Selesai,Sudah Dibayar,Aktif,Dicatat,Terkirim"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c88a27ab1740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RINGKASAN KAS KECIL</x:v>
      </x:c>
      <x:c r="B1" s="3" t="str">
        <x:v>RINGKASAN KAS KECIL</x:v>
      </x:c>
      <x:c r="C1" s="3" t="str">
        <x:v>RINGKASAN KAS KECIL</x:v>
      </x:c>
      <x:c r="D1" s="3" t="str">
        <x:v>RINGKASAN KAS KECIL</x:v>
      </x:c>
      <x:c r="E1" s="3" t="str">
        <x:v>RINGKASAN KAS KECIL</x:v>
      </x:c>
      <x:c r="F1" s="3" t="str">
        <x:v>RINGKASAN KAS KECIL</x:v>
      </x:c>
      <x:c r="G1" s="3" t="str">
        <x:v>RINGKASAN KAS KECIL</x:v>
      </x:c>
      <x:c r="H1" s="3" t="str">
        <x:v>RINGKASAN KAS KECIL</x:v>
      </x:c>
    </x:row>
    <x:row r="3">
      <x:c r="A3" s="31" t="str">
        <x:v>Indikator</x:v>
      </x:c>
      <x:c r="B3" s="31" t="str">
        <x:v>Nilai</x:v>
      </x:c>
      <x:c r="D3" s="40" t="str">
        <x:v>Arus</x:v>
      </x:c>
      <x:c r="E3" s="40" t="str">
        <x:v>Nominal</x:v>
      </x:c>
    </x:row>
    <x:row r="4">
      <x:c r="A4" s="43" t="str">
        <x:v>Jumlah baris tercatat</x:v>
      </x:c>
      <x:c r="B4" s="43" t="n">
        <x:f>COUNTA('Catatan Kas Kecil'!A4:A120)</x:f>
        <x:v>3</x:v>
      </x:c>
      <x:c r="D4" s="43" t="str">
        <x:v>Total masuk/pendapatan</x:v>
      </x:c>
      <x:c r="E4" s="44" t="n">
        <x:f>SUMIFS('Catatan Kas Kecil'!$E$4:$E$120,'Catatan Kas Kecil'!$B$4:$B$120,"Isi")+SUMIFS('Catatan Kas Kecil'!$E$4:$E$120,'Catatan Kas Kecil'!$B$4:$B$120,"Pendapatan")</x:f>
        <x:v>500000</x:v>
      </x:c>
    </x:row>
    <x:row r="5">
      <x:c r="A5" s="43" t="str">
        <x:v>Saldo kas kecil</x:v>
      </x:c>
      <x:c r="B5" s="43" t="n">
        <x:f>E6</x:f>
        <x:v>373000</x:v>
      </x:c>
      <x:c r="D5" s="43" t="str">
        <x:v>Total keluar/beban</x:v>
      </x:c>
      <x:c r="E5" s="44" t="n">
        <x:f>SUMIFS('Catatan Kas Kecil'!$E$4:$E$120,'Catatan Kas Kecil'!$B$4:$B$120,"Keluar")+SUMIFS('Catatan Kas Kecil'!$E$4:$E$120,'Catatan Kas Kecil'!$B$4:$B$120,"Beban")</x:f>
        <x:v>127000</x:v>
      </x:c>
    </x:row>
    <x:row r="6">
      <x:c r="A6" s="43" t="str">
        <x:v>Status selesai/aktif</x:v>
      </x:c>
      <x:c r="B6" s="43" t="n">
        <x:f>COUNTIF('Catatan Kas Kecil'!G4:G120,"Selesai")+COUNTIF('Catatan Kas Kecil'!G4:G120,"Aktif")+COUNTIF('Catatan Kas Kecil'!G4:G120,"Sudah Dibayar")</x:f>
        <x:v>0</x:v>
      </x:c>
      <x:c r="D6" s="43" t="str">
        <x:v>Nilai bersih</x:v>
      </x:c>
      <x:c r="E6" s="44" t="n">
        <x:f>E4-E5</x:f>
        <x:v>373000</x:v>
      </x:c>
    </x:row>
    <x:row r="9">
      <x:c r="A9" s="31" t="str">
        <x:v>Status</x:v>
      </x:c>
      <x:c r="B9" s="31" t="str">
        <x:v>Jumlah</x:v>
      </x:c>
    </x:row>
    <x:row r="10">
      <x:c r="A10" s="6" t="str">
        <x:v>Belum Mulai</x:v>
      </x:c>
      <x:c r="B10" s="6" t="n">
        <x:f>COUNTIF('Catatan Kas Kecil'!G4:G120,A10)</x:f>
        <x:v>0</x:v>
      </x:c>
    </x:row>
    <x:row r="11">
      <x:c r="A11" s="6" t="str">
        <x:v>Berjalan</x:v>
      </x:c>
      <x:c r="B11" s="6" t="n">
        <x:f>COUNTIF('Catatan Kas Kecil'!G5:G121,A11)</x:f>
        <x:v>0</x:v>
      </x:c>
    </x:row>
    <x:row r="12">
      <x:c r="A12" s="6" t="str">
        <x:v>Selesai</x:v>
      </x:c>
      <x:c r="B12" s="6" t="n">
        <x:f>COUNTIF('Catatan Kas Kecil'!G6:G122,A12)</x:f>
        <x:v>0</x:v>
      </x:c>
    </x:row>
    <x:row r="13">
      <x:c r="A13" s="6" t="str">
        <x:v>Lainnya</x:v>
      </x:c>
      <x:c r="B13" s="6" t="n">
        <x:f>MAX(0,B4-SUM(B10:B12))</x:f>
        <x:v>3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e3c94f1584e4c40"/>
</x:worksheet>
</file>