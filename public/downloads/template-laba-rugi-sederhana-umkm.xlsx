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b043ba30e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1bcba3e2383a4680"/>
    <x:sheet xmlns:r="http://schemas.openxmlformats.org/officeDocument/2006/relationships" name="Catatan Laba Rugi" sheetId="2" r:id="Rce318f7befab4369"/>
    <x:sheet xmlns:r="http://schemas.openxmlformats.org/officeDocument/2006/relationships" name="Ringkasan" sheetId="3" r:id="Rf5e632affad3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fe6d5fc1b4ba6" /><Relationship Type="http://schemas.openxmlformats.org/officeDocument/2006/relationships/theme" Target="/xl/theme/theme1.xml" Id="Re648b3d264f34c5a" /><Relationship Type="http://schemas.openxmlformats.org/officeDocument/2006/relationships/sharedStrings" Target="/xl/sharedStrings.xml" Id="Rcdd9a5b5ad6f431b" /><Relationship Type="http://schemas.openxmlformats.org/officeDocument/2006/relationships/worksheet" Target="/xl/worksheets/sheet1.xml" Id="R1bcba3e2383a4680" /><Relationship Type="http://schemas.openxmlformats.org/officeDocument/2006/relationships/worksheet" Target="/xl/worksheets/sheet2.xml" Id="Rce318f7befab4369" /><Relationship Type="http://schemas.openxmlformats.org/officeDocument/2006/relationships/worksheet" Target="/xl/worksheets/sheet3.xml" Id="Rf5e632affad340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0e0627de764d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0e0627de764d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06" displayName="DraftTemplate06" ref="A3:G6" headerRowCount="1" totalsRowCount="0" totalsRowShown="0">
  <x:tableColumns count="7">
    <x:tableColumn id="1" name="Tanggal"/>
    <x:tableColumn id="2" name="Jenis"/>
    <x:tableColumn id="3" name="Kategori"/>
    <x:tableColumn id="4" name="Keterangan"/>
    <x:tableColumn id="5" name="Nominal"/>
    <x:tableColumn id="6" name="Bulan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48229b206548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a4539b61eef44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Laba Rugi Sederhana UMKM Excel Gratis</x:v>
      </x:c>
      <x:c r="B1" s="3" t="str">
        <x:v>Template Laba Rugi Sederhana UMKM Excel Gratis</x:v>
      </x:c>
      <x:c r="C1" s="3" t="str">
        <x:v>Template Laba Rugi Sederhana UMKM Excel Gratis</x:v>
      </x:c>
      <x:c r="D1" s="3" t="str">
        <x:v>Template Laba Rugi Sederhana UMKM Excel Gratis</x:v>
      </x:c>
      <x:c r="E1" s="3" t="str">
        <x:v>Template Laba Rugi Sederhana UMKM Excel Gratis</x:v>
      </x:c>
      <x:c r="F1" s="3" t="str">
        <x:v>Template Laba Rugi Sederhana UMKM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Catat pendapatan dan beban pada baris terpisah.</x:v>
      </x:c>
      <x:c r="C5" s="8"/>
      <x:c r="D5" s="8"/>
      <x:c r="E5" s="8"/>
      <x:c r="F5" s="8"/>
    </x:row>
    <x:row r="6">
      <x:c r="A6" s="8" t="n">
        <x:v>2</x:v>
      </x:c>
      <x:c r="B6" s="8" t="str">
        <x:v>Pilih Jenis Pendapatan atau Beban agar ringkasan dapat menghitung keduanya.</x:v>
      </x:c>
      <x:c r="C6" s="8"/>
      <x:c r="D6" s="8"/>
      <x:c r="E6" s="8"/>
      <x:c r="F6" s="8"/>
    </x:row>
    <x:row r="7">
      <x:c r="A7" s="8" t="n">
        <x:v>3</x:v>
      </x:c>
      <x:c r="B7" s="8" t="str">
        <x:v>Isi nominal berdasarkan bukti transaksi yang tersedia.</x:v>
      </x:c>
      <x:c r="C7" s="8"/>
      <x:c r="D7" s="8"/>
      <x:c r="E7" s="8"/>
      <x:c r="F7" s="8"/>
    </x:row>
    <x:row r="8">
      <x:c r="A8" s="8" t="n">
        <x:v>4</x:v>
      </x:c>
      <x:c r="B8" s="8" t="str">
        <x:v>Gunakan nilai bersih sebagai catatan internal dan cocokkan secara berkala.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adalah catatan operasional sederhana, bukan laporan akuntansi, pajak, atau nasihat keuangan profesional.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8" customHeight="1">
      <x:c r="A1" s="3" t="str">
        <x:v>TEMPLATE LABA RUGI SEDERHANA UMKM EXCEL GRATIS</x:v>
      </x:c>
      <x:c r="B1" s="3" t="str">
        <x:v>TEMPLATE LABA RUGI SEDERHANA UMKM EXCEL GRATIS</x:v>
      </x:c>
      <x:c r="C1" s="3" t="str">
        <x:v>TEMPLATE LABA RUGI SEDERHANA UMKM EXCEL GRATIS</x:v>
      </x:c>
      <x:c r="D1" s="3" t="str">
        <x:v>TEMPLATE LABA RUGI SEDERHANA UMKM EXCEL GRATIS</x:v>
      </x:c>
      <x:c r="E1" s="3" t="str">
        <x:v>TEMPLATE LABA RUGI SEDERHANA UMKM EXCEL GRATIS</x:v>
      </x:c>
      <x:c r="F1" s="3" t="str">
        <x:v>TEMPLATE LABA RUGI SEDERHANA UMKM EXCEL GRATIS</x:v>
      </x:c>
      <x:c r="G1" s="3" t="str">
        <x:v>TEMPLATE LABA RUGI SEDERHANA UMKM EXCEL GRATIS</x:v>
      </x:c>
    </x:row>
    <x:row r="3">
      <x:c r="A3" s="31" t="str">
        <x:v>Tanggal</x:v>
      </x:c>
      <x:c r="B3" s="31" t="str">
        <x:v>Jenis</x:v>
      </x:c>
      <x:c r="C3" s="31" t="str">
        <x:v>Kategori</x:v>
      </x:c>
      <x:c r="D3" s="31" t="str">
        <x:v>Keterangan</x:v>
      </x:c>
      <x:c r="E3" s="31" t="str">
        <x:v>Nominal</x:v>
      </x:c>
      <x:c r="F3" s="31" t="str">
        <x:v>Bulan</x:v>
      </x:c>
      <x:c r="G3" s="31" t="str">
        <x:v>Status</x:v>
      </x:c>
    </x:row>
    <x:row r="4" ht="22" customHeight="1">
      <x:c r="A4" s="36" t="n">
        <x:v>46204</x:v>
      </x:c>
      <x:c r="B4" s="37" t="str">
        <x:v>Pendapatan</x:v>
      </x:c>
      <x:c r="C4" s="37" t="str">
        <x:v>Penjualan</x:v>
      </x:c>
      <x:c r="D4" s="37" t="str">
        <x:v>Penjualan minggu pertama</x:v>
      </x:c>
      <x:c r="E4" s="38" t="n">
        <x:v>1350000</x:v>
      </x:c>
      <x:c r="F4" s="37" t="str">
        <x:f>TEXT(A4,"yyyy-mm")</x:f>
        <x:v>2026-07</x:v>
      </x:c>
      <x:c r="G4" s="37" t="str">
        <x:v>Dicatat</x:v>
      </x:c>
    </x:row>
    <x:row r="5" ht="22" customHeight="1">
      <x:c r="A5" s="36" t="n">
        <x:v>46206</x:v>
      </x:c>
      <x:c r="B5" s="37" t="str">
        <x:v>Beban</x:v>
      </x:c>
      <x:c r="C5" s="37" t="str">
        <x:v>Bahan baku</x:v>
      </x:c>
      <x:c r="D5" s="37" t="str">
        <x:v>Belanja bahan</x:v>
      </x:c>
      <x:c r="E5" s="38" t="n">
        <x:v>420000</x:v>
      </x:c>
      <x:c r="F5" s="37" t="str">
        <x:f>TEXT(A5,"yyyy-mm")</x:f>
        <x:v>2026-07</x:v>
      </x:c>
      <x:c r="G5" s="37" t="str">
        <x:v>Dicatat</x:v>
      </x:c>
    </x:row>
    <x:row r="6" ht="22" customHeight="1">
      <x:c r="A6" s="36" t="n">
        <x:v>46210</x:v>
      </x:c>
      <x:c r="B6" s="37" t="str">
        <x:v>Beban</x:v>
      </x:c>
      <x:c r="C6" s="37" t="str">
        <x:v>Operasional</x:v>
      </x:c>
      <x:c r="D6" s="37" t="str">
        <x:v>Kemasan dan ongkir</x:v>
      </x:c>
      <x:c r="E6" s="38" t="n">
        <x:v>175000</x:v>
      </x:c>
      <x:c r="F6" s="37" t="str">
        <x:f>TEXT(A6,"yyyy-mm")</x:f>
        <x:v>2026-07</x:v>
      </x:c>
      <x:c r="G6" s="37" t="str">
        <x:v>Dicatat</x:v>
      </x:c>
    </x:row>
  </x:sheetData>
  <x:mergeCells>
    <x:mergeCell ref="A1:G1"/>
  </x:mergeCells>
  <x:dataValidations count="1">
    <x:dataValidation type="list" sqref="G4:G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48229b206548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LABA RUGI</x:v>
      </x:c>
      <x:c r="B1" s="3" t="str">
        <x:v>RINGKASAN LABA RUGI</x:v>
      </x:c>
      <x:c r="C1" s="3" t="str">
        <x:v>RINGKASAN LABA RUGI</x:v>
      </x:c>
      <x:c r="D1" s="3" t="str">
        <x:v>RINGKASAN LABA RUGI</x:v>
      </x:c>
      <x:c r="E1" s="3" t="str">
        <x:v>RINGKASAN LABA RUGI</x:v>
      </x:c>
      <x:c r="F1" s="3" t="str">
        <x:v>RINGKASAN LABA RUGI</x:v>
      </x:c>
      <x:c r="G1" s="3" t="str">
        <x:v>RINGKASAN LABA RUGI</x:v>
      </x:c>
      <x:c r="H1" s="3" t="str">
        <x:v>RINGKASAN LABA RUGI</x:v>
      </x:c>
    </x:row>
    <x:row r="3">
      <x:c r="A3" s="31" t="str">
        <x:v>Indikator</x:v>
      </x:c>
      <x:c r="B3" s="31" t="str">
        <x:v>Nilai</x:v>
      </x:c>
      <x:c r="D3" s="40" t="str">
        <x:v>Arus</x:v>
      </x:c>
      <x:c r="E3" s="40" t="str">
        <x:v>Nominal</x:v>
      </x:c>
    </x:row>
    <x:row r="4">
      <x:c r="A4" s="43" t="str">
        <x:v>Jumlah baris tercatat</x:v>
      </x:c>
      <x:c r="B4" s="43" t="n">
        <x:f>COUNTA('Catatan Laba Rugi'!A4:A120)</x:f>
        <x:v>3</x:v>
      </x:c>
      <x:c r="D4" s="43" t="str">
        <x:v>Total masuk/pendapatan</x:v>
      </x:c>
      <x:c r="E4" s="44" t="n">
        <x:f>SUMIFS('Catatan Laba Rugi'!$E$4:$E$120,'Catatan Laba Rugi'!$B$4:$B$120,"Isi")+SUMIFS('Catatan Laba Rugi'!$E$4:$E$120,'Catatan Laba Rugi'!$B$4:$B$120,"Pendapatan")</x:f>
        <x:v>1350000</x:v>
      </x:c>
    </x:row>
    <x:row r="5">
      <x:c r="A5" s="43" t="str">
        <x:v>Nilai bersih</x:v>
      </x:c>
      <x:c r="B5" s="43" t="n">
        <x:f>E6</x:f>
        <x:v>755000</x:v>
      </x:c>
      <x:c r="D5" s="43" t="str">
        <x:v>Total keluar/beban</x:v>
      </x:c>
      <x:c r="E5" s="44" t="n">
        <x:f>SUMIFS('Catatan Laba Rugi'!$E$4:$E$120,'Catatan Laba Rugi'!$B$4:$B$120,"Keluar")+SUMIFS('Catatan Laba Rugi'!$E$4:$E$120,'Catatan Laba Rugi'!$B$4:$B$120,"Beban")</x:f>
        <x:v>595000</x:v>
      </x:c>
    </x:row>
    <x:row r="6">
      <x:c r="A6" s="43" t="str">
        <x:v>Status selesai/aktif</x:v>
      </x:c>
      <x:c r="B6" s="43" t="n">
        <x:f>COUNTIF('Catatan Laba Rugi'!G4:G120,"Selesai")+COUNTIF('Catatan Laba Rugi'!G4:G120,"Aktif")+COUNTIF('Catatan Laba Rugi'!G4:G120,"Sudah Dibayar")</x:f>
        <x:v>0</x:v>
      </x:c>
      <x:c r="D6" s="43" t="str">
        <x:v>Nilai bersih</x:v>
      </x:c>
      <x:c r="E6" s="44" t="n">
        <x:f>E4-E5</x:f>
        <x:v>755000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COUNTIF('Catatan Laba Rugi'!G4:G120,A10)</x:f>
        <x:v>0</x:v>
      </x:c>
    </x:row>
    <x:row r="11">
      <x:c r="A11" s="6" t="str">
        <x:v>Berjalan</x:v>
      </x:c>
      <x:c r="B11" s="6" t="n">
        <x:f>COUNTIF('Catatan Laba Rugi'!G5:G121,A11)</x:f>
        <x:v>0</x:v>
      </x:c>
    </x:row>
    <x:row r="12">
      <x:c r="A12" s="6" t="str">
        <x:v>Selesai</x:v>
      </x:c>
      <x:c r="B12" s="6" t="n">
        <x:f>COUNTIF('Catatan Laba Rugi'!G6:G122,A12)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a4539b61eef44d5"/>
</x:worksheet>
</file>