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ecbed9b62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22d9437eb3044dab"/>
    <x:sheet xmlns:r="http://schemas.openxmlformats.org/officeDocument/2006/relationships" name="Project Overview" sheetId="2" r:id="Rf37a35629fd34194"/>
    <x:sheet xmlns:r="http://schemas.openxmlformats.org/officeDocument/2006/relationships" name="Task List" sheetId="3" r:id="R4cfa0dd2bb234c09"/>
    <x:sheet xmlns:r="http://schemas.openxmlformats.org/officeDocument/2006/relationships" name="Milestones" sheetId="4" r:id="R6970758cc0ab40e5"/>
    <x:sheet xmlns:r="http://schemas.openxmlformats.org/officeDocument/2006/relationships" name="Dashboard" sheetId="5" r:id="R193688f63ef945ee"/>
    <x:sheet xmlns:r="http://schemas.openxmlformats.org/officeDocument/2006/relationships" name="Referensi" sheetId="6" r:id="Re426a67ccdf241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0" fontId="0" fillId="5" borderId="1" xfId="0" applyNumberFormat="1" applyFont="1" applyFill="1" applyBorder="1" applyAlignment="1">
      <x:alignment vertical="top"/>
    </x:xf>
    <x:xf numFmtId="201" fontId="0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38275d03448a8" /><Relationship Type="http://schemas.openxmlformats.org/officeDocument/2006/relationships/theme" Target="/xl/theme/theme1.xml" Id="R021970dff5ba44e9" /><Relationship Type="http://schemas.openxmlformats.org/officeDocument/2006/relationships/sharedStrings" Target="/xl/sharedStrings.xml" Id="Rf33cbd1162334e9e" /><Relationship Type="http://schemas.openxmlformats.org/officeDocument/2006/relationships/worksheet" Target="/xl/worksheets/sheet1.xml" Id="R22d9437eb3044dab" /><Relationship Type="http://schemas.openxmlformats.org/officeDocument/2006/relationships/worksheet" Target="/xl/worksheets/sheet2.xml" Id="Rf37a35629fd34194" /><Relationship Type="http://schemas.openxmlformats.org/officeDocument/2006/relationships/worksheet" Target="/xl/worksheets/sheet3.xml" Id="R4cfa0dd2bb234c09" /><Relationship Type="http://schemas.openxmlformats.org/officeDocument/2006/relationships/worksheet" Target="/xl/worksheets/sheet4.xml" Id="R6970758cc0ab40e5" /><Relationship Type="http://schemas.openxmlformats.org/officeDocument/2006/relationships/worksheet" Target="/xl/worksheets/sheet5.xml" Id="R193688f63ef945ee" /><Relationship Type="http://schemas.openxmlformats.org/officeDocument/2006/relationships/worksheet" Target="/xl/worksheets/sheet6.xml" Id="Re426a67ccdf241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e11b5162cf4f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Proyek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 Proyek</c:v>
          </c:tx>
          <c:cat>
            <c:strRef>
              <c:f>'Dashboard'!$A$11:$A$12</c:f>
              <c:strCache>
                <c:ptCount val="0"/>
              </c:strCache>
            </c:strRef>
          </c:cat>
          <c:val>
            <c:numRef>
              <c:f>'Dashboard'!$B$11:$B$12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e11b5162cf4f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ProjectOverviewTable" displayName="ProjectOverviewTable" ref="A3:J7" headerRowCount="1" totalsRowCount="0" totalsRowShown="0">
  <x:tableColumns count="10">
    <x:tableColumn id="1" name="ID Proyek"/>
    <x:tableColumn id="2" name="Nama Proyek"/>
    <x:tableColumn id="3" name="Pemilik"/>
    <x:tableColumn id="4" name="Mulai Rencana"/>
    <x:tableColumn id="5" name="Selesai Rencana"/>
    <x:tableColumn id="6" name="Status"/>
    <x:tableColumn id="7" name="Progres"/>
    <x:tableColumn id="8" name="Jumlah Tugas"/>
    <x:tableColumn id="9" name="Catatan Risiko"/>
    <x:tableColumn id="10" name="Peringatan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rojectTasksTable" displayName="ProjectTasksTable" ref="A3:O9" headerRowCount="1" totalsRowCount="0" totalsRowShown="0">
  <x:tableColumns count="15">
    <x:tableColumn id="1" name="ID Tugas"/>
    <x:tableColumn id="2" name="ID Proyek"/>
    <x:tableColumn id="3" name="Workstream"/>
    <x:tableColumn id="4" name="Tugas"/>
    <x:tableColumn id="5" name="Pemilik"/>
    <x:tableColumn id="6" name="Prioritas"/>
    <x:tableColumn id="7" name="Status"/>
    <x:tableColumn id="8" name="Mulai Rencana"/>
    <x:tableColumn id="9" name="Selesai Rencana"/>
    <x:tableColumn id="10" name="Progres"/>
    <x:tableColumn id="11" name="Selesai Aktual"/>
    <x:tableColumn id="12" name="Ketergantungan"/>
    <x:tableColumn id="13" name="Risiko/Isu"/>
    <x:tableColumn id="14" name="Status Keterlambatan"/>
    <x:tableColumn id="15" name="Peringatan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ProjectMilestonesTable" displayName="ProjectMilestonesTable" ref="A3:G6" headerRowCount="1" totalsRowCount="0" totalsRowShown="0">
  <x:tableColumns count="7">
    <x:tableColumn id="1" name="ID Milestone"/>
    <x:tableColumn id="2" name="ID Proyek"/>
    <x:tableColumn id="3" name="Milestone"/>
    <x:tableColumn id="4" name="Pemilik"/>
    <x:tableColumn id="5" name="Tanggal Rencana"/>
    <x:tableColumn id="6" name="Status"/>
    <x:tableColumn id="7" name="Catat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ProjectReferenceTable" displayName="ProjectReferenceTable" ref="A3:D6" headerRowCount="1" totalsRowCount="0" totalsRowShown="0">
  <x:tableColumns count="4">
    <x:tableColumn id="1" name="Status"/>
    <x:tableColumn id="2" name="Prioritas"/>
    <x:tableColumn id="3" name="Pemilik"/>
    <x:tableColumn id="4" name="Workstrea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c3a43768fd4f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cfec1416694c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f112794f0040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f8fc0418f45b41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64273ca92e746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3" t="str">
        <x:v>Template Tracker Proyek Sederhana</x:v>
      </x:c>
      <x:c r="B1" s="3" t="str">
        <x:v>Template Tracker Proyek Sederhana</x:v>
      </x:c>
      <x:c r="C1" s="3" t="str">
        <x:v>Template Tracker Proyek Sederhana</x:v>
      </x:c>
      <x:c r="D1" s="3" t="str">
        <x:v>Template Tracker Proyek Sederhana</x:v>
      </x:c>
      <x:c r="E1" s="3" t="str">
        <x:v>Template Tracker Proyek Sederhana</x:v>
      </x:c>
      <x:c r="F1" s="3" t="str">
        <x:v>Template Tracker Proyek Sederhana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7" t="n">
        <x:v>1</x:v>
      </x:c>
      <x:c r="B5" s="8" t="str">
        <x:v>Daftarkan proyek dan pemilik pada Project Overview.</x:v>
      </x:c>
      <x:c r="C5" s="7"/>
      <x:c r="D5" s="7"/>
      <x:c r="E5" s="7"/>
      <x:c r="F5" s="7"/>
    </x:row>
    <x:row r="6">
      <x:c r="A6" s="7" t="n">
        <x:v>2</x:v>
      </x:c>
      <x:c r="B6" s="8" t="str">
        <x:v>Masukkan satu pekerjaan per baris pada Task List, termasuk status, prioritas, dan tanggal rencana.</x:v>
      </x:c>
      <x:c r="C6" s="7"/>
      <x:c r="D6" s="7"/>
      <x:c r="E6" s="7"/>
      <x:c r="F6" s="7"/>
    </x:row>
    <x:row r="7">
      <x:c r="A7" s="7" t="n">
        <x:v>3</x:v>
      </x:c>
      <x:c r="B7" s="8" t="str">
        <x:v>Gunakan Milestones untuk titik penting yang perlu dipantau tanpa membuat timeline rumit.</x:v>
      </x:c>
      <x:c r="C7" s="7"/>
      <x:c r="D7" s="7"/>
      <x:c r="E7" s="7"/>
      <x:c r="F7" s="7"/>
    </x:row>
    <x:row r="8">
      <x:c r="A8" s="7" t="n">
        <x:v>4</x:v>
      </x:c>
      <x:c r="B8" s="8" t="str">
        <x:v>Periksa Dashboard untuk status proyek, pekerjaan terbuka, dan indikasi terlambat.</x:v>
      </x:c>
      <x:c r="C8" s="7"/>
      <x:c r="D8" s="7"/>
      <x:c r="E8" s="7"/>
      <x:c r="F8" s="7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untuk koordinasi proyek kecil dan pekerjaan kantor. Template ini bukan perangkat manajemen proyek enterprise, tidak mengatur kapasitas tim, dan tidak menggantikan persetujuan atau proses formal organisasi.</x:v>
      </x:c>
      <x:c r="B13" s="23" t="str">
        <x:v>Template ini untuk koordinasi proyek kecil dan pekerjaan kantor. Template ini bukan perangkat manajemen proyek enterprise, tidak mengatur kapasitas tim, dan tidak menggantikan persetujuan atau proses formal organisasi.</x:v>
      </x:c>
      <x:c r="C13" s="23" t="str">
        <x:v>Template ini untuk koordinasi proyek kecil dan pekerjaan kantor. Template ini bukan perangkat manajemen proyek enterprise, tidak mengatur kapasitas tim, dan tidak menggantikan persetujuan atau proses formal organisasi.</x:v>
      </x:c>
      <x:c r="D13" s="23" t="str">
        <x:v>Template ini untuk koordinasi proyek kecil dan pekerjaan kantor. Template ini bukan perangkat manajemen proyek enterprise, tidak mengatur kapasitas tim, dan tidak menggantikan persetujuan atau proses formal organisasi.</x:v>
      </x:c>
      <x:c r="E13" s="23" t="str">
        <x:v>Template ini untuk koordinasi proyek kecil dan pekerjaan kantor. Template ini bukan perangkat manajemen proyek enterprise, tidak mengatur kapasitas tim, dan tidak menggantikan persetujuan atau proses formal organisasi.</x:v>
      </x:c>
      <x:c r="F13" s="24" t="str">
        <x:v>Template ini untuk koordinasi proyek kecil dan pekerjaan kantor. Template ini bukan perangkat manajemen proyek enterprise, tidak mengatur kapasitas tim, dan tidak menggantikan persetujuan atau proses formal organisasi.</x:v>
      </x:c>
    </x:row>
    <x:row r="14">
      <x:c r="A14" s="25" t="str">
        <x:v>Template ini untuk koordinasi proyek kecil dan pekerjaan kantor. Template ini bukan perangkat manajemen proyek enterprise, tidak mengatur kapasitas tim, dan tidak menggantikan persetujuan atau proses formal organisasi.</x:v>
      </x:c>
      <x:c r="B14" s="26" t="str">
        <x:v>Template ini untuk koordinasi proyek kecil dan pekerjaan kantor. Template ini bukan perangkat manajemen proyek enterprise, tidak mengatur kapasitas tim, dan tidak menggantikan persetujuan atau proses formal organisasi.</x:v>
      </x:c>
      <x:c r="C14" s="26" t="str">
        <x:v>Template ini untuk koordinasi proyek kecil dan pekerjaan kantor. Template ini bukan perangkat manajemen proyek enterprise, tidak mengatur kapasitas tim, dan tidak menggantikan persetujuan atau proses formal organisasi.</x:v>
      </x:c>
      <x:c r="D14" s="26" t="str">
        <x:v>Template ini untuk koordinasi proyek kecil dan pekerjaan kantor. Template ini bukan perangkat manajemen proyek enterprise, tidak mengatur kapasitas tim, dan tidak menggantikan persetujuan atau proses formal organisasi.</x:v>
      </x:c>
      <x:c r="E14" s="26" t="str">
        <x:v>Template ini untuk koordinasi proyek kecil dan pekerjaan kantor. Template ini bukan perangkat manajemen proyek enterprise, tidak mengatur kapasitas tim, dan tidak menggantikan persetujuan atau proses formal organisasi.</x:v>
      </x:c>
      <x:c r="F14" s="27" t="str">
        <x:v>Template ini untuk koordinasi proyek kecil dan pekerjaan kantor. Template ini bukan perangkat manajemen proyek enterprise, tidak mengatur kapasitas tim, dan tidak menggantikan persetujuan atau proses formal organisasi.</x:v>
      </x:c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6" hidden="0" customWidth="1"/>
    <x:col min="10" max="10" width="26" hidden="0" customWidth="1"/>
  </x:cols>
  <x:sheetData>
    <x:row r="1" ht="28" customHeight="1">
      <x:c r="A1" s="3" t="str">
        <x:v>PROJECT OVERVIEW</x:v>
      </x:c>
      <x:c r="B1" s="3" t="str">
        <x:v>PROJECT OVERVIEW</x:v>
      </x:c>
      <x:c r="C1" s="3" t="str">
        <x:v>PROJECT OVERVIEW</x:v>
      </x:c>
      <x:c r="D1" s="3" t="str">
        <x:v>PROJECT OVERVIEW</x:v>
      </x:c>
      <x:c r="E1" s="3" t="str">
        <x:v>PROJECT OVERVIEW</x:v>
      </x:c>
      <x:c r="F1" s="3" t="str">
        <x:v>PROJECT OVERVIEW</x:v>
      </x:c>
      <x:c r="G1" s="3" t="str">
        <x:v>PROJECT OVERVIEW</x:v>
      </x:c>
      <x:c r="H1" s="3" t="str">
        <x:v>PROJECT OVERVIEW</x:v>
      </x:c>
      <x:c r="I1" s="3" t="str">
        <x:v>PROJECT OVERVIEW</x:v>
      </x:c>
      <x:c r="J1" s="3" t="str">
        <x:v>PROJECT OVERVIEW</x:v>
      </x:c>
    </x:row>
    <x:row r="3">
      <x:c r="A3" s="31" t="str">
        <x:v>ID Proyek</x:v>
      </x:c>
      <x:c r="B3" s="31" t="str">
        <x:v>Nama Proyek</x:v>
      </x:c>
      <x:c r="C3" s="31" t="str">
        <x:v>Pemilik</x:v>
      </x:c>
      <x:c r="D3" s="31" t="str">
        <x:v>Mulai Rencana</x:v>
      </x:c>
      <x:c r="E3" s="31" t="str">
        <x:v>Selesai Rencana</x:v>
      </x:c>
      <x:c r="F3" s="31" t="str">
        <x:v>Status</x:v>
      </x:c>
      <x:c r="G3" s="31" t="str">
        <x:v>Progres</x:v>
      </x:c>
      <x:c r="H3" s="31" t="str">
        <x:v>Jumlah Tugas</x:v>
      </x:c>
      <x:c r="I3" s="31" t="str">
        <x:v>Catatan Risiko</x:v>
      </x:c>
      <x:c r="J3" s="31" t="str">
        <x:v>Peringatan ID</x:v>
      </x:c>
    </x:row>
    <x:row r="4">
      <x:c r="A4" s="34" t="str">
        <x:v>PRJ-001</x:v>
      </x:c>
      <x:c r="B4" s="34" t="str">
        <x:v>Peluncuran Promo Juli</x:v>
      </x:c>
      <x:c r="C4" s="34" t="str">
        <x:v>Andi</x:v>
      </x:c>
      <x:c r="D4" s="41" t="n">
        <x:v>46204</x:v>
      </x:c>
      <x:c r="E4" s="41" t="n">
        <x:v>46223</x:v>
      </x:c>
      <x:c r="F4" s="34" t="str">
        <x:v>Dikerjakan</x:v>
      </x:c>
      <x:c r="G4" s="42" t="n">
        <x:f>IF(A4="","",IFERROR(SUMIFS('Task List'!$J$4:$J$200,'Task List'!$B$4:$B$200,A4)/COUNTIFS('Task List'!$B$4:$B$200,A4,'Task List'!$D$4:$D$200,"&lt;&gt;"),0))</x:f>
        <x:v>0.4</x:v>
      </x:c>
      <x:c r="H4" s="34" t="n">
        <x:f>IF(A4="","",COUNTIFS('Task List'!$B$4:$B$200,A4,'Task List'!$D$4:$D$200,"&lt;&gt;"))</x:f>
        <x:v>2</x:v>
      </x:c>
      <x:c r="I4" s="34" t="str">
        <x:v>Materi perlu disetujui</x:v>
      </x:c>
      <x:c r="J4" s="34" t="str">
        <x:f>IF(A4="","",IF(COUNTIF($A$4:$A$200,A4)&gt;1,"ID duplikat",""))</x:f>
      </x:c>
    </x:row>
    <x:row r="5">
      <x:c r="A5" s="34" t="str">
        <x:v>PRJ-002</x:v>
      </x:c>
      <x:c r="B5" s="34" t="str">
        <x:v>Perapian SOP Gudang</x:v>
      </x:c>
      <x:c r="C5" s="34" t="str">
        <x:v>Sari</x:v>
      </x:c>
      <x:c r="D5" s="41" t="n">
        <x:v>46208</x:v>
      </x:c>
      <x:c r="E5" s="41" t="n">
        <x:v>46228</x:v>
      </x:c>
      <x:c r="F5" s="34" t="str">
        <x:v>Belum Dimulai</x:v>
      </x:c>
      <x:c r="G5" s="42" t="n">
        <x:f>IF(A5="","",IFERROR(SUMIFS('Task List'!$J$4:$J$200,'Task List'!$B$4:$B$200,A5)/COUNTIFS('Task List'!$B$4:$B$200,A5,'Task List'!$D$4:$D$200,"&lt;&gt;"),0))</x:f>
        <x:v>0.7</x:v>
      </x:c>
      <x:c r="H5" s="34" t="n">
        <x:f>IF(A5="","",COUNTIFS('Task List'!$B$4:$B$200,A5,'Task List'!$D$4:$D$200,"&lt;&gt;"))</x:f>
        <x:v>2</x:v>
      </x:c>
      <x:c r="I5" s="34" t="str">
        <x:v>Ketersediaan waktu tim</x:v>
      </x:c>
      <x:c r="J5" s="34" t="str">
        <x:f>IF(A5="","",IF(COUNTIF($A$4:$A$200,A5)&gt;1,"ID duplikat",""))</x:f>
      </x:c>
    </x:row>
    <x:row r="6">
      <x:c r="A6" s="34" t="str">
        <x:v>PRJ-003</x:v>
      </x:c>
      <x:c r="B6" s="34" t="str"/>
      <x:c r="C6" s="34" t="str"/>
      <x:c r="D6" s="41"/>
      <x:c r="E6" s="41"/>
      <x:c r="F6" s="34" t="str">
        <x:v>Belum Dimulai</x:v>
      </x:c>
      <x:c r="G6" s="42" t="n">
        <x:f>IF(A6="","",IFERROR(SUMIFS('Task List'!$J$4:$J$200,'Task List'!$B$4:$B$200,A6)/COUNTIFS('Task List'!$B$4:$B$200,A6,'Task List'!$D$4:$D$200,"&lt;&gt;"),0))</x:f>
        <x:v>0</x:v>
      </x:c>
      <x:c r="H6" s="34" t="n">
        <x:f>IF(A6="","",COUNTIFS('Task List'!$B$4:$B$200,A6,'Task List'!$D$4:$D$200,"&lt;&gt;"))</x:f>
        <x:v>0</x:v>
      </x:c>
      <x:c r="I6" s="34" t="str">
        <x:v>Baris siap pakai</x:v>
      </x:c>
      <x:c r="J6" s="34" t="str">
        <x:f>IF(A6="","",IF(COUNTIF($A$4:$A$200,A6)&gt;1,"ID duplikat",""))</x:f>
      </x:c>
    </x:row>
    <x:row r="7">
      <x:c r="A7" s="34" t="str"/>
      <x:c r="B7" s="34" t="str"/>
      <x:c r="C7" s="34" t="str"/>
      <x:c r="D7" s="41"/>
      <x:c r="E7" s="41"/>
      <x:c r="F7" s="34" t="str"/>
      <x:c r="G7" s="42" t="str">
        <x:f>IF(A7="","",IFERROR(SUMIFS('Task List'!$J$4:$J$200,'Task List'!$B$4:$B$200,A7)/COUNTIFS('Task List'!$B$4:$B$200,A7,'Task List'!$D$4:$D$200,"&lt;&gt;"),0))</x:f>
      </x:c>
      <x:c r="H7" s="34" t="str">
        <x:f>IF(A7="","",COUNTIFS('Task List'!$B$4:$B$200,A7,'Task List'!$D$4:$D$200,"&lt;&gt;"))</x:f>
      </x:c>
      <x:c r="I7" s="34" t="str"/>
      <x:c r="J7" s="34" t="str">
        <x:f>IF(A7="","",IF(COUNTIF($A$4:$A$200,A7)&gt;1,"ID duplikat",""))</x:f>
      </x:c>
    </x:row>
  </x:sheetData>
  <x:mergeCells>
    <x:mergeCell ref="A1:J1"/>
  </x:mergeCells>
  <x:dataValidations count="2">
    <x:dataValidation type="list" sqref="C4:C200">
      <x:formula1>"Andi,Sari,Bima"</x:formula1>
    </x:dataValidation>
    <x:dataValidation type="list" sqref="F4:F200">
      <x:formula1>"Belum Dimulai,Dikerjakan,Selesai"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c3a43768fd4f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31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5" hidden="0" customWidth="1"/>
    <x:col min="13" max="13" width="25" hidden="0" customWidth="1"/>
    <x:col min="14" max="14" width="22" hidden="0" customWidth="1"/>
    <x:col min="15" max="15" width="22" hidden="0" customWidth="1"/>
  </x:cols>
  <x:sheetData>
    <x:row r="1" ht="28" customHeight="1">
      <x:c r="A1" s="3" t="str">
        <x:v>TASK LIST PROYEK</x:v>
      </x:c>
      <x:c r="B1" s="3" t="str">
        <x:v>TASK LIST PROYEK</x:v>
      </x:c>
      <x:c r="C1" s="3" t="str">
        <x:v>TASK LIST PROYEK</x:v>
      </x:c>
      <x:c r="D1" s="3" t="str">
        <x:v>TASK LIST PROYEK</x:v>
      </x:c>
      <x:c r="E1" s="3" t="str">
        <x:v>TASK LIST PROYEK</x:v>
      </x:c>
      <x:c r="F1" s="3" t="str">
        <x:v>TASK LIST PROYEK</x:v>
      </x:c>
      <x:c r="G1" s="3" t="str">
        <x:v>TASK LIST PROYEK</x:v>
      </x:c>
      <x:c r="H1" s="3" t="str">
        <x:v>TASK LIST PROYEK</x:v>
      </x:c>
      <x:c r="I1" s="3" t="str">
        <x:v>TASK LIST PROYEK</x:v>
      </x:c>
      <x:c r="J1" s="3" t="str">
        <x:v>TASK LIST PROYEK</x:v>
      </x:c>
      <x:c r="K1" s="3" t="str">
        <x:v>TASK LIST PROYEK</x:v>
      </x:c>
      <x:c r="L1" s="3" t="str">
        <x:v>TASK LIST PROYEK</x:v>
      </x:c>
      <x:c r="M1" s="3" t="str">
        <x:v>TASK LIST PROYEK</x:v>
      </x:c>
      <x:c r="N1" s="3" t="str">
        <x:v>TASK LIST PROYEK</x:v>
      </x:c>
      <x:c r="O1" s="3" t="str">
        <x:v>TASK LIST PROYEK</x:v>
      </x:c>
    </x:row>
    <x:row r="3">
      <x:c r="A3" s="31" t="str">
        <x:v>ID Tugas</x:v>
      </x:c>
      <x:c r="B3" s="31" t="str">
        <x:v>ID Proyek</x:v>
      </x:c>
      <x:c r="C3" s="31" t="str">
        <x:v>Workstream</x:v>
      </x:c>
      <x:c r="D3" s="31" t="str">
        <x:v>Tugas</x:v>
      </x:c>
      <x:c r="E3" s="31" t="str">
        <x:v>Pemilik</x:v>
      </x:c>
      <x:c r="F3" s="31" t="str">
        <x:v>Prioritas</x:v>
      </x:c>
      <x:c r="G3" s="31" t="str">
        <x:v>Status</x:v>
      </x:c>
      <x:c r="H3" s="31" t="str">
        <x:v>Mulai Rencana</x:v>
      </x:c>
      <x:c r="I3" s="31" t="str">
        <x:v>Selesai Rencana</x:v>
      </x:c>
      <x:c r="J3" s="31" t="str">
        <x:v>Progres</x:v>
      </x:c>
      <x:c r="K3" s="31" t="str">
        <x:v>Selesai Aktual</x:v>
      </x:c>
      <x:c r="L3" s="31" t="str">
        <x:v>Ketergantungan</x:v>
      </x:c>
      <x:c r="M3" s="31" t="str">
        <x:v>Risiko/Isu</x:v>
      </x:c>
      <x:c r="N3" s="31" t="str">
        <x:v>Status Keterlambatan</x:v>
      </x:c>
      <x:c r="O3" s="31" t="str">
        <x:v>Peringatan ID</x:v>
      </x:c>
    </x:row>
    <x:row r="4">
      <x:c r="A4" s="34" t="str">
        <x:v>TSK-001</x:v>
      </x:c>
      <x:c r="B4" s="34" t="str">
        <x:v>PRJ-001</x:v>
      </x:c>
      <x:c r="C4" s="34" t="str">
        <x:v>Perencanaan</x:v>
      </x:c>
      <x:c r="D4" s="34" t="str">
        <x:v>Susun materi promo</x:v>
      </x:c>
      <x:c r="E4" s="34" t="str">
        <x:v>Andi</x:v>
      </x:c>
      <x:c r="F4" s="34" t="str">
        <x:v>Tinggi</x:v>
      </x:c>
      <x:c r="G4" s="34" t="str">
        <x:v>Dikerjakan</x:v>
      </x:c>
      <x:c r="H4" s="41" t="n">
        <x:v>46204</x:v>
      </x:c>
      <x:c r="I4" s="41" t="n">
        <x:v>46215</x:v>
      </x:c>
      <x:c r="J4" s="42" t="n">
        <x:v>0.8</x:v>
      </x:c>
      <x:c r="K4" s="41"/>
      <x:c r="L4" s="34" t="str">
        <x:v>Persetujuan tema</x:v>
      </x:c>
      <x:c r="M4" s="34" t="str">
        <x:v>Menunggu persetujuan</x:v>
      </x:c>
      <x:c r="N4" s="34" t="str">
        <x:f>IF(D4="","",IF(G4="Selesai","Selesai",IF(I4="","Tanpa tanggal selesai",IF(I4&lt;TODAY(),"Lewat rencana","Aman"))))</x:f>
        <x:v>Lewat rencana</x:v>
      </x:c>
      <x:c r="O4" s="34" t="str">
        <x:f>IF(A4="","",IF(COUNTIF($A$4:$A$200,A4)&gt;1,"ID duplikat",""))</x:f>
      </x:c>
    </x:row>
    <x:row r="5">
      <x:c r="A5" s="34" t="str">
        <x:v>TSK-002</x:v>
      </x:c>
      <x:c r="B5" s="34" t="str">
        <x:v>PRJ-001</x:v>
      </x:c>
      <x:c r="C5" s="34" t="str">
        <x:v>Komunikasi</x:v>
      </x:c>
      <x:c r="D5" s="34" t="str">
        <x:v>Kirim materi ke kanal</x:v>
      </x:c>
      <x:c r="E5" s="34" t="str">
        <x:v>Bima</x:v>
      </x:c>
      <x:c r="F5" s="34" t="str">
        <x:v>Sedang</x:v>
      </x:c>
      <x:c r="G5" s="34" t="str">
        <x:v>Belum Dimulai</x:v>
      </x:c>
      <x:c r="H5" s="41" t="n">
        <x:v>46216</x:v>
      </x:c>
      <x:c r="I5" s="41" t="n">
        <x:v>46221</x:v>
      </x:c>
      <x:c r="J5" s="42" t="n">
        <x:v>0</x:v>
      </x:c>
      <x:c r="K5" s="41"/>
      <x:c r="L5" s="34" t="str">
        <x:v>TSK-001</x:v>
      </x:c>
      <x:c r="M5" s="34" t="str"/>
      <x:c r="N5" s="34" t="str">
        <x:f>IF(D5="","",IF(G5="Selesai","Selesai",IF(I5="","Tanpa tanggal selesai",IF(I5&lt;TODAY(),"Lewat rencana","Aman"))))</x:f>
        <x:v>Aman</x:v>
      </x:c>
      <x:c r="O5" s="34" t="str">
        <x:f>IF(A5="","",IF(COUNTIF($A$4:$A$200,A5)&gt;1,"ID duplikat",""))</x:f>
      </x:c>
    </x:row>
    <x:row r="6">
      <x:c r="A6" s="34" t="str">
        <x:v>TSK-003</x:v>
      </x:c>
      <x:c r="B6" s="34" t="str">
        <x:v>PRJ-002</x:v>
      </x:c>
      <x:c r="C6" s="34" t="str">
        <x:v>Perencanaan</x:v>
      </x:c>
      <x:c r="D6" s="34" t="str">
        <x:v>Pemetaan SOP saat ini</x:v>
      </x:c>
      <x:c r="E6" s="34" t="str">
        <x:v>Sari</x:v>
      </x:c>
      <x:c r="F6" s="34" t="str">
        <x:v>Sedang</x:v>
      </x:c>
      <x:c r="G6" s="34" t="str">
        <x:v>Selesai</x:v>
      </x:c>
      <x:c r="H6" s="41" t="n">
        <x:v>46208</x:v>
      </x:c>
      <x:c r="I6" s="41" t="n">
        <x:v>46213</x:v>
      </x:c>
      <x:c r="J6" s="42" t="n">
        <x:v>1</x:v>
      </x:c>
      <x:c r="K6" s="41" t="n">
        <x:v>46213</x:v>
      </x:c>
      <x:c r="L6" s="34" t="str"/>
      <x:c r="M6" s="34" t="str"/>
      <x:c r="N6" s="34" t="str">
        <x:f>IF(D6="","",IF(G6="Selesai","Selesai",IF(I6="","Tanpa tanggal selesai",IF(I6&lt;TODAY(),"Lewat rencana","Aman"))))</x:f>
        <x:v>Selesai</x:v>
      </x:c>
      <x:c r="O6" s="34" t="str">
        <x:f>IF(A6="","",IF(COUNTIF($A$4:$A$200,A6)&gt;1,"ID duplikat",""))</x:f>
      </x:c>
    </x:row>
    <x:row r="7">
      <x:c r="A7" s="34" t="str">
        <x:v>TSK-004</x:v>
      </x:c>
      <x:c r="B7" s="34" t="str">
        <x:v>PRJ-002</x:v>
      </x:c>
      <x:c r="C7" s="34" t="str">
        <x:v>Pelaksanaan</x:v>
      </x:c>
      <x:c r="D7" s="34" t="str">
        <x:v>Susun daftar perubahan</x:v>
      </x:c>
      <x:c r="E7" s="34" t="str">
        <x:v>Sari</x:v>
      </x:c>
      <x:c r="F7" s="34" t="str">
        <x:v>Tinggi</x:v>
      </x:c>
      <x:c r="G7" s="34" t="str">
        <x:v>Dikerjakan</x:v>
      </x:c>
      <x:c r="H7" s="41" t="n">
        <x:v>46214</x:v>
      </x:c>
      <x:c r="I7" s="41" t="n">
        <x:v>46216</x:v>
      </x:c>
      <x:c r="J7" s="42" t="n">
        <x:v>0.4</x:v>
      </x:c>
      <x:c r="K7" s="41"/>
      <x:c r="L7" s="34" t="str">
        <x:v>TSK-003</x:v>
      </x:c>
      <x:c r="M7" s="34" t="str">
        <x:v>Butuh review</x:v>
      </x:c>
      <x:c r="N7" s="34" t="str">
        <x:f>IF(D7="","",IF(G7="Selesai","Selesai",IF(I7="","Tanpa tanggal selesai",IF(I7&lt;TODAY(),"Lewat rencana","Aman"))))</x:f>
        <x:v>Lewat rencana</x:v>
      </x:c>
      <x:c r="O7" s="34" t="str">
        <x:f>IF(A7="","",IF(COUNTIF($A$4:$A$200,A7)&gt;1,"ID duplikat",""))</x:f>
      </x:c>
    </x:row>
    <x:row r="8">
      <x:c r="A8" s="34" t="str">
        <x:v>TSK-005</x:v>
      </x:c>
      <x:c r="B8" s="34" t="str"/>
      <x:c r="C8" s="34" t="str"/>
      <x:c r="D8" s="34" t="str"/>
      <x:c r="E8" s="34" t="str"/>
      <x:c r="F8" s="34" t="str">
        <x:v>Sedang</x:v>
      </x:c>
      <x:c r="G8" s="34" t="str">
        <x:v>Belum Dimulai</x:v>
      </x:c>
      <x:c r="H8" s="41"/>
      <x:c r="I8" s="41"/>
      <x:c r="J8" s="42" t="n">
        <x:v>0</x:v>
      </x:c>
      <x:c r="K8" s="41"/>
      <x:c r="L8" s="34" t="str"/>
      <x:c r="M8" s="34" t="str"/>
      <x:c r="N8" s="34" t="str">
        <x:f>IF(D8="","",IF(G8="Selesai","Selesai",IF(I8="","Tanpa tanggal selesai",IF(I8&lt;TODAY(),"Lewat rencana","Aman"))))</x:f>
      </x:c>
      <x:c r="O8" s="34" t="str">
        <x:f>IF(A8="","",IF(COUNTIF($A$4:$A$200,A8)&gt;1,"ID duplikat",""))</x:f>
      </x:c>
    </x:row>
    <x:row r="9">
      <x:c r="A9" s="34" t="str"/>
      <x:c r="B9" s="34" t="str"/>
      <x:c r="C9" s="34" t="str"/>
      <x:c r="D9" s="34" t="str"/>
      <x:c r="E9" s="34" t="str"/>
      <x:c r="F9" s="34" t="str"/>
      <x:c r="G9" s="34" t="str"/>
      <x:c r="H9" s="41"/>
      <x:c r="I9" s="41"/>
      <x:c r="J9" s="42"/>
      <x:c r="K9" s="41"/>
      <x:c r="L9" s="34" t="str"/>
      <x:c r="M9" s="34" t="str"/>
      <x:c r="N9" s="34" t="str">
        <x:f>IF(D9="","",IF(G9="Selesai","Selesai",IF(I9="","Tanpa tanggal selesai",IF(I9&lt;TODAY(),"Lewat rencana","Aman"))))</x:f>
      </x:c>
      <x:c r="O9" s="34" t="str">
        <x:f>IF(A9="","",IF(COUNTIF($A$4:$A$200,A9)&gt;1,"ID duplikat",""))</x:f>
      </x:c>
    </x:row>
  </x:sheetData>
  <x:mergeCells>
    <x:mergeCell ref="A1:O1"/>
  </x:mergeCells>
  <x:dataValidations count="6">
    <x:dataValidation type="list" sqref="B4:B200">
      <x:formula1>"PRJ-001,PRJ-002,PRJ-003"</x:formula1>
    </x:dataValidation>
    <x:dataValidation type="list" sqref="C4:C200">
      <x:formula1>"Perencanaan,Pelaksanaan,Komunikasi"</x:formula1>
    </x:dataValidation>
    <x:dataValidation type="list" sqref="E4:E200">
      <x:formula1>"Andi,Sari,Bima"</x:formula1>
    </x:dataValidation>
    <x:dataValidation type="list" sqref="F4:F200">
      <x:formula1>"Tinggi,Sedang,Rendah"</x:formula1>
    </x:dataValidation>
    <x:dataValidation type="list" sqref="G4:G200">
      <x:formula1>"Belum Dimulai,Dikerjakan,Selesai"</x:formula1>
    </x:dataValidation>
    <x:dataValidation type="decimal" operator="between" sqref="J4:J20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bcfec1416694c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3" t="str">
        <x:v>MILESTONES</x:v>
      </x:c>
      <x:c r="B1" s="3" t="str">
        <x:v>MILESTONES</x:v>
      </x:c>
      <x:c r="C1" s="3" t="str">
        <x:v>MILESTONES</x:v>
      </x:c>
      <x:c r="D1" s="3" t="str">
        <x:v>MILESTONES</x:v>
      </x:c>
      <x:c r="E1" s="3" t="str">
        <x:v>MILESTONES</x:v>
      </x:c>
      <x:c r="F1" s="3" t="str">
        <x:v>MILESTONES</x:v>
      </x:c>
      <x:c r="G1" s="3" t="str">
        <x:v>MILESTONES</x:v>
      </x:c>
    </x:row>
    <x:row r="3">
      <x:c r="A3" s="31" t="str">
        <x:v>ID Milestone</x:v>
      </x:c>
      <x:c r="B3" s="31" t="str">
        <x:v>ID Proyek</x:v>
      </x:c>
      <x:c r="C3" s="31" t="str">
        <x:v>Milestone</x:v>
      </x:c>
      <x:c r="D3" s="31" t="str">
        <x:v>Pemilik</x:v>
      </x:c>
      <x:c r="E3" s="31" t="str">
        <x:v>Tanggal Rencana</x:v>
      </x:c>
      <x:c r="F3" s="31" t="str">
        <x:v>Status</x:v>
      </x:c>
      <x:c r="G3" s="31" t="str">
        <x:v>Catatan</x:v>
      </x:c>
    </x:row>
    <x:row r="4">
      <x:c r="A4" s="34" t="str">
        <x:v>MS-001</x:v>
      </x:c>
      <x:c r="B4" s="34" t="str">
        <x:v>PRJ-001</x:v>
      </x:c>
      <x:c r="C4" s="34" t="str">
        <x:v>Materi promo disetujui</x:v>
      </x:c>
      <x:c r="D4" s="34" t="str">
        <x:v>Andi</x:v>
      </x:c>
      <x:c r="E4" s="41" t="n">
        <x:v>46215</x:v>
      </x:c>
      <x:c r="F4" s="34" t="str">
        <x:v>Dikerjakan</x:v>
      </x:c>
      <x:c r="G4" s="34" t="str">
        <x:v>Contoh</x:v>
      </x:c>
    </x:row>
    <x:row r="5">
      <x:c r="A5" s="34" t="str">
        <x:v>MS-002</x:v>
      </x:c>
      <x:c r="B5" s="34" t="str">
        <x:v>PRJ-001</x:v>
      </x:c>
      <x:c r="C5" s="34" t="str">
        <x:v>Promo tayang</x:v>
      </x:c>
      <x:c r="D5" s="34" t="str">
        <x:v>Bima</x:v>
      </x:c>
      <x:c r="E5" s="41" t="n">
        <x:v>46221</x:v>
      </x:c>
      <x:c r="F5" s="34" t="str">
        <x:v>Belum Dimulai</x:v>
      </x:c>
      <x:c r="G5" s="34" t="str">
        <x:v>Contoh</x:v>
      </x:c>
    </x:row>
    <x:row r="6">
      <x:c r="A6" s="34" t="str">
        <x:v>MS-003</x:v>
      </x:c>
      <x:c r="B6" s="34" t="str">
        <x:v>PRJ-002</x:v>
      </x:c>
      <x:c r="C6" s="34" t="str">
        <x:v>SOP diperbarui</x:v>
      </x:c>
      <x:c r="D6" s="34" t="str">
        <x:v>Sari</x:v>
      </x:c>
      <x:c r="E6" s="41" t="n">
        <x:v>46228</x:v>
      </x:c>
      <x:c r="F6" s="34" t="str">
        <x:v>Belum Dimulai</x:v>
      </x:c>
      <x:c r="G6" s="34" t="str">
        <x:v>Contoh</x:v>
      </x:c>
    </x:row>
  </x:sheetData>
  <x:mergeCells>
    <x:mergeCell ref="A1:G1"/>
  </x:mergeCells>
  <x:dataValidations count="2">
    <x:dataValidation type="list" sqref="B4:B200">
      <x:formula1>"PRJ-001,PRJ-002,PRJ-003"</x:formula1>
    </x:dataValidation>
    <x:dataValidation type="list" sqref="F4:F200">
      <x:formula1>"Belum Dimulai,Dikerjakan,Selesai"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f112794f0040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8" customHeight="1">
      <x:c r="A1" s="3" t="str">
        <x:v>DASHBOARD PROYEK SEDERHANA</x:v>
      </x:c>
      <x:c r="B1" s="3" t="str">
        <x:v>DASHBOARD PROYEK SEDERHANA</x:v>
      </x:c>
      <x:c r="C1" s="3" t="str">
        <x:v>DASHBOARD PROYEK SEDERHANA</x:v>
      </x:c>
      <x:c r="D1" s="3" t="str">
        <x:v>DASHBOARD PROYEK SEDERHANA</x:v>
      </x:c>
      <x:c r="E1" s="3" t="str">
        <x:v>DASHBOARD PROYEK SEDERHANA</x:v>
      </x:c>
      <x:c r="F1" s="3" t="str">
        <x:v>DASHBOARD PROYEK SEDERHANA</x:v>
      </x:c>
      <x:c r="G1" s="3" t="str">
        <x:v>DASHBOARD PROYEK SEDERHANA</x:v>
      </x:c>
      <x:c r="H1" s="3" t="str">
        <x:v>DASHBOARD PROYEK SEDERHANA</x:v>
      </x:c>
      <x:c r="I1" s="3" t="str">
        <x:v>DASHBOARD PROYEK SEDERHANA</x:v>
      </x:c>
      <x:c r="J1" s="3" t="str">
        <x:v>DASHBOARD PROYEK SEDERHANA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</x:row>
    <x:row r="3">
      <x:c r="A3" s="45" t="str">
        <x:v>Total Proyek</x:v>
      </x:c>
      <x:c r="B3" s="45" t="n">
        <x:f>COUNTIF('Project Overview'!$A$4:$A$200,"&lt;&gt;")</x:f>
        <x:v>4</x:v>
      </x:c>
      <x:c r="C3" s="43"/>
      <x:c r="D3" s="43"/>
      <x:c r="E3" s="43"/>
      <x:c r="F3" s="43"/>
      <x:c r="G3" s="43"/>
      <x:c r="H3" s="43"/>
      <x:c r="I3" s="43"/>
      <x:c r="J3" s="43"/>
    </x:row>
    <x:row r="4">
      <x:c r="A4" s="45" t="str">
        <x:v>Proyek Dikerjakan</x:v>
      </x:c>
      <x:c r="B4" s="45" t="n">
        <x:f>COUNTIF('Project Overview'!$F$4:$F$200,"Dikerjakan")</x:f>
        <x:v>1</x:v>
      </x:c>
      <x:c r="C4" s="43"/>
      <x:c r="D4" s="43"/>
      <x:c r="E4" s="43"/>
      <x:c r="F4" s="43"/>
      <x:c r="G4" s="43"/>
      <x:c r="H4" s="43"/>
      <x:c r="I4" s="43"/>
      <x:c r="J4" s="43"/>
    </x:row>
    <x:row r="5">
      <x:c r="A5" s="45" t="str">
        <x:v>Tugas Terbuka</x:v>
      </x:c>
      <x:c r="B5" s="45" t="n">
        <x:f>COUNTIFS('Task List'!$D$4:$D$200,"&lt;&gt;",'Task List'!$G$4:$G$200,"&lt;&gt;Selesai")</x:f>
        <x:v>5</x:v>
      </x:c>
      <x:c r="C5" s="43"/>
      <x:c r="D5" s="43"/>
      <x:c r="E5" s="43"/>
      <x:c r="F5" s="43"/>
      <x:c r="G5" s="43"/>
      <x:c r="H5" s="43"/>
      <x:c r="I5" s="43"/>
      <x:c r="J5" s="43"/>
    </x:row>
    <x:row r="6">
      <x:c r="A6" s="45" t="str">
        <x:v>Tugas Lewat Rencana</x:v>
      </x:c>
      <x:c r="B6" s="45" t="n">
        <x:f>COUNTIF('Task List'!$N$4:$N$200,"Lewat rencana")</x:f>
        <x:v>2</x:v>
      </x:c>
      <x:c r="C6" s="43"/>
      <x:c r="D6" s="43"/>
      <x:c r="E6" s="43"/>
      <x:c r="F6" s="43"/>
      <x:c r="G6" s="43"/>
      <x:c r="H6" s="43"/>
      <x:c r="I6" s="43"/>
      <x:c r="J6" s="43"/>
    </x:row>
    <x:row r="7">
      <x:c r="A7" s="45" t="str">
        <x:v>Milestone Belum Selesai</x:v>
      </x:c>
      <x:c r="B7" s="45" t="n">
        <x:f>COUNTIFS('Milestones'!$A$4:$A$200,"&lt;&gt;",'Milestones'!$F$4:$F$200,"&lt;&gt;Selesai")</x:f>
        <x:v>3</x:v>
      </x:c>
      <x:c r="C7" s="43"/>
      <x:c r="D7" s="43"/>
      <x:c r="E7" s="43"/>
      <x:c r="F7" s="43"/>
      <x:c r="G7" s="43"/>
      <x:c r="H7" s="43"/>
      <x:c r="I7" s="43"/>
      <x:c r="J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</x:row>
    <x:row r="10">
      <x:c r="A10" s="31" t="str">
        <x:v>Status</x:v>
      </x:c>
      <x:c r="B10" s="31" t="str">
        <x:v>Jumlah Proyek</x:v>
      </x:c>
      <x:c r="C10" s="43"/>
      <x:c r="D10" s="43"/>
      <x:c r="E10" s="43"/>
      <x:c r="F10" s="43"/>
      <x:c r="G10" s="43"/>
      <x:c r="H10" s="43"/>
      <x:c r="I10" s="43"/>
      <x:c r="J10" s="43"/>
    </x:row>
    <x:row r="11">
      <x:c r="A11" s="43" t="str">
        <x:v>Belum Dimulai</x:v>
      </x:c>
      <x:c r="B11" s="43" t="n">
        <x:f>COUNTIF('Project Overview'!$F$4:$F$200,A11)</x:f>
        <x:v>2</x:v>
      </x:c>
      <x:c r="C11" s="43"/>
      <x:c r="D11" s="43"/>
      <x:c r="E11" s="43"/>
      <x:c r="F11" s="43"/>
      <x:c r="G11" s="43"/>
      <x:c r="H11" s="43"/>
      <x:c r="I11" s="43"/>
      <x:c r="J11" s="43"/>
    </x:row>
    <x:row r="12">
      <x:c r="A12" s="43" t="str">
        <x:v>Dikerjakan</x:v>
      </x:c>
      <x:c r="B12" s="43" t="n">
        <x:f>COUNTIF('Project Overview'!$F$4:$F$200,A12)</x:f>
        <x:v>1</x:v>
      </x:c>
      <x:c r="C12" s="43"/>
      <x:c r="D12" s="43"/>
      <x:c r="E12" s="43"/>
      <x:c r="F12" s="43"/>
      <x:c r="G12" s="43"/>
      <x:c r="H12" s="43"/>
      <x:c r="I12" s="43"/>
      <x:c r="J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f8fc0418f45b4112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8" customHeight="1">
      <x:c r="A1" s="3" t="str">
        <x:v>REFERENSI PROYEK</x:v>
      </x:c>
      <x:c r="B1" s="3" t="str">
        <x:v>REFERENSI PROYEK</x:v>
      </x:c>
      <x:c r="C1" s="3" t="str">
        <x:v>REFERENSI PROYEK</x:v>
      </x:c>
      <x:c r="D1" s="3" t="str">
        <x:v>REFERENSI PROYEK</x:v>
      </x:c>
    </x:row>
    <x:row r="3">
      <x:c r="A3" s="31" t="str">
        <x:v>Status</x:v>
      </x:c>
      <x:c r="B3" s="31" t="str">
        <x:v>Prioritas</x:v>
      </x:c>
      <x:c r="C3" s="31" t="str">
        <x:v>Pemilik</x:v>
      </x:c>
      <x:c r="D3" s="31" t="str">
        <x:v>Workstream</x:v>
      </x:c>
    </x:row>
    <x:row r="4">
      <x:c r="A4" s="34" t="str">
        <x:v>Belum Dimulai</x:v>
      </x:c>
      <x:c r="B4" s="34" t="str">
        <x:v>Tinggi</x:v>
      </x:c>
      <x:c r="C4" s="34" t="str">
        <x:v>Andi</x:v>
      </x:c>
      <x:c r="D4" s="34" t="str">
        <x:v>Perencanaan</x:v>
      </x:c>
    </x:row>
    <x:row r="5">
      <x:c r="A5" s="34" t="str">
        <x:v>Dikerjakan</x:v>
      </x:c>
      <x:c r="B5" s="34" t="str">
        <x:v>Sedang</x:v>
      </x:c>
      <x:c r="C5" s="34" t="str">
        <x:v>Sari</x:v>
      </x:c>
      <x:c r="D5" s="34" t="str">
        <x:v>Pelaksanaan</x:v>
      </x:c>
    </x:row>
    <x:row r="6">
      <x:c r="A6" s="34" t="str">
        <x:v>Selesai</x:v>
      </x:c>
      <x:c r="B6" s="34" t="str">
        <x:v>Rendah</x:v>
      </x:c>
      <x:c r="C6" s="34" t="str">
        <x:v>Bima</x:v>
      </x:c>
      <x:c r="D6" s="34" t="str">
        <x:v>Komunikasi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64273ca92e7466c"/>
  </x:tableParts>
</x:worksheet>
</file>