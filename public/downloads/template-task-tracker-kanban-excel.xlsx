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b2f14a510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72169d1d4ac14c14"/>
    <x:sheet xmlns:r="http://schemas.openxmlformats.org/officeDocument/2006/relationships" name="Daftar Tugas" sheetId="2" r:id="R86ff238228ec48d6"/>
    <x:sheet xmlns:r="http://schemas.openxmlformats.org/officeDocument/2006/relationships" name="Papan Kanban" sheetId="3" r:id="R89ac515d8bb34aa9"/>
    <x:sheet xmlns:r="http://schemas.openxmlformats.org/officeDocument/2006/relationships" name="Ringkasan" sheetId="4" r:id="Radd8137c589c438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&quot;%&quot;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f30dca46d47da" /><Relationship Type="http://schemas.openxmlformats.org/officeDocument/2006/relationships/theme" Target="/xl/theme/theme1.xml" Id="R8ee569281c234d5a" /><Relationship Type="http://schemas.openxmlformats.org/officeDocument/2006/relationships/sheetMetadata" Target="/xl/metadata1.xml" Id="R7094b48883534de1" /><Relationship Type="http://schemas.openxmlformats.org/officeDocument/2006/relationships/sharedStrings" Target="/xl/sharedStrings.xml" Id="R302824104684424d" /><Relationship Type="http://schemas.openxmlformats.org/officeDocument/2006/relationships/worksheet" Target="/xl/worksheets/sheet1.xml" Id="R72169d1d4ac14c14" /><Relationship Type="http://schemas.openxmlformats.org/officeDocument/2006/relationships/worksheet" Target="/xl/worksheets/sheet2.xml" Id="R86ff238228ec48d6" /><Relationship Type="http://schemas.openxmlformats.org/officeDocument/2006/relationships/worksheet" Target="/xl/worksheets/sheet3.xml" Id="R89ac515d8bb34aa9" /><Relationship Type="http://schemas.openxmlformats.org/officeDocument/2006/relationships/worksheet" Target="/xl/worksheets/sheet4.xml" Id="Radd8137c589c43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5435dd954849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Tugas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'Ringkasan'!$A$3:$A$5</c:f>
              <c:strCache>
                <c:ptCount val="0"/>
              </c:strCache>
            </c:strRef>
          </c:cat>
          <c:val>
            <c:numRef>
              <c:f>'Ringkasan'!$B$3:$B$5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5435dd954849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Table" displayName="TasksTable" ref="A3:L8" headerRowCount="1" totalsRowCount="0" totalsRowShown="0">
  <x:tableColumns count="12">
    <x:tableColumn id="1" name="ID"/>
    <x:tableColumn id="2" name="Tugas"/>
    <x:tableColumn id="3" name="Proyek"/>
    <x:tableColumn id="4" name="Pemilik"/>
    <x:tableColumn id="5" name="Status"/>
    <x:tableColumn id="6" name="Prioritas"/>
    <x:tableColumn id="7" name="Mulai"/>
    <x:tableColumn id="8" name="Jatuh Tempo"/>
    <x:tableColumn id="9" name="Progres"/>
    <x:tableColumn id="10" name="Hari Tersisa"/>
    <x:tableColumn id="11" name="Status Keterlambatan"/>
    <x:tableColumn id="12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b58881d1dc4d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57ec6a7996e43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" t="str">
        <x:v>Template Task Tracker Kanban Excel</x:v>
      </x:c>
      <x:c r="B1" s="3" t="str">
        <x:v>Template Task Tracker Kanban Excel</x:v>
      </x:c>
      <x:c r="C1" s="3" t="str">
        <x:v>Template Task Tracker Kanban Excel</x:v>
      </x:c>
      <x:c r="D1" s="3" t="str">
        <x:v>Template Task Tracker Kanban Excel</x:v>
      </x:c>
      <x:c r="E1" s="3" t="str">
        <x:v>Template Task Tracker Kanban Excel</x:v>
      </x:c>
      <x:c r="F1" s="3" t="str">
        <x:v>Template Task Tracker Kanban Excel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7" t="n">
        <x:v>1</x:v>
      </x:c>
      <x:c r="B5" s="8" t="str">
        <x:v>Masukkan satu pekerjaan per baris pada Daftar Tugas.</x:v>
      </x:c>
      <x:c r="C5" s="7"/>
      <x:c r="D5" s="7"/>
      <x:c r="E5" s="7"/>
      <x:c r="F5" s="7"/>
    </x:row>
    <x:row r="6">
      <x:c r="A6" s="7" t="n">
        <x:v>2</x:v>
      </x:c>
      <x:c r="B6" s="8" t="str">
        <x:v>Pilih status dan prioritas dari dropdown agar board serta rekap ikut berubah.</x:v>
      </x:c>
      <x:c r="C6" s="7"/>
      <x:c r="D6" s="7"/>
      <x:c r="E6" s="7"/>
      <x:c r="F6" s="7"/>
    </x:row>
    <x:row r="7">
      <x:c r="A7" s="7" t="n">
        <x:v>3</x:v>
      </x:c>
      <x:c r="B7" s="8" t="str">
        <x:v>Isi progres sebagai angka 0 sampai 100 dan tanggal jatuh tempo bila ada.</x:v>
      </x:c>
      <x:c r="C7" s="7"/>
      <x:c r="D7" s="7"/>
      <x:c r="E7" s="7"/>
      <x:c r="F7" s="7"/>
    </x:row>
    <x:row r="8">
      <x:c r="A8" s="7" t="n">
        <x:v>4</x:v>
      </x:c>
      <x:c r="B8" s="8" t="str">
        <x:v>Gunakan Papan Kanban untuk pembacaan cepat dan Ringkasan untuk beban kerja.</x:v>
      </x:c>
      <x:c r="C8" s="7"/>
      <x:c r="D8" s="7"/>
      <x:c r="E8" s="7"/>
      <x:c r="F8" s="7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cocok untuk daftar tugas pribadi atau tim kecil. Ini bukan pengganti sistem manajemen proyek, pelacakan waktu, atau integrasi kerja otomatis.</x:v>
      </x:c>
      <x:c r="B13" s="23" t="str">
        <x:v>Template ini cocok untuk daftar tugas pribadi atau tim kecil. Ini bukan pengganti sistem manajemen proyek, pelacakan waktu, atau integrasi kerja otomatis.</x:v>
      </x:c>
      <x:c r="C13" s="23" t="str">
        <x:v>Template ini cocok untuk daftar tugas pribadi atau tim kecil. Ini bukan pengganti sistem manajemen proyek, pelacakan waktu, atau integrasi kerja otomatis.</x:v>
      </x:c>
      <x:c r="D13" s="23" t="str">
        <x:v>Template ini cocok untuk daftar tugas pribadi atau tim kecil. Ini bukan pengganti sistem manajemen proyek, pelacakan waktu, atau integrasi kerja otomatis.</x:v>
      </x:c>
      <x:c r="E13" s="23" t="str">
        <x:v>Template ini cocok untuk daftar tugas pribadi atau tim kecil. Ini bukan pengganti sistem manajemen proyek, pelacakan waktu, atau integrasi kerja otomatis.</x:v>
      </x:c>
      <x:c r="F13" s="24" t="str">
        <x:v>Template ini cocok untuk daftar tugas pribadi atau tim kecil. Ini bukan pengganti sistem manajemen proyek, pelacakan waktu, atau integrasi kerja otomatis.</x:v>
      </x:c>
    </x:row>
    <x:row r="14">
      <x:c r="A14" s="25" t="str">
        <x:v>Template ini cocok untuk daftar tugas pribadi atau tim kecil. Ini bukan pengganti sistem manajemen proyek, pelacakan waktu, atau integrasi kerja otomatis.</x:v>
      </x:c>
      <x:c r="B14" s="26" t="str">
        <x:v>Template ini cocok untuk daftar tugas pribadi atau tim kecil. Ini bukan pengganti sistem manajemen proyek, pelacakan waktu, atau integrasi kerja otomatis.</x:v>
      </x:c>
      <x:c r="C14" s="26" t="str">
        <x:v>Template ini cocok untuk daftar tugas pribadi atau tim kecil. Ini bukan pengganti sistem manajemen proyek, pelacakan waktu, atau integrasi kerja otomatis.</x:v>
      </x:c>
      <x:c r="D14" s="26" t="str">
        <x:v>Template ini cocok untuk daftar tugas pribadi atau tim kecil. Ini bukan pengganti sistem manajemen proyek, pelacakan waktu, atau integrasi kerja otomatis.</x:v>
      </x:c>
      <x:c r="E14" s="26" t="str">
        <x:v>Template ini cocok untuk daftar tugas pribadi atau tim kecil. Ini bukan pengganti sistem manajemen proyek, pelacakan waktu, atau integrasi kerja otomatis.</x:v>
      </x:c>
      <x:c r="F14" s="27" t="str">
        <x:v>Template ini cocok untuk daftar tugas pribadi atau tim kecil. Ini bukan pengganti sistem manajemen proyek, pelacakan waktu, atau integrasi kerja otomatis.</x:v>
      </x:c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3" hidden="0" customWidth="1"/>
    <x:col min="12" max="12" width="17" hidden="0" customWidth="1"/>
  </x:cols>
  <x:sheetData>
    <x:row r="1" ht="28" customHeight="1">
      <x:c r="A1" s="3" t="str">
        <x:v>DAFTAR TUGAS</x:v>
      </x:c>
      <x:c r="B1" s="3" t="str">
        <x:v>DAFTAR TUGAS</x:v>
      </x:c>
      <x:c r="C1" s="3" t="str">
        <x:v>DAFTAR TUGAS</x:v>
      </x:c>
      <x:c r="D1" s="3" t="str">
        <x:v>DAFTAR TUGAS</x:v>
      </x:c>
      <x:c r="E1" s="3" t="str">
        <x:v>DAFTAR TUGAS</x:v>
      </x:c>
      <x:c r="F1" s="3" t="str">
        <x:v>DAFTAR TUGAS</x:v>
      </x:c>
      <x:c r="G1" s="3" t="str">
        <x:v>DAFTAR TUGAS</x:v>
      </x:c>
      <x:c r="H1" s="3" t="str">
        <x:v>DAFTAR TUGAS</x:v>
      </x:c>
      <x:c r="I1" s="3" t="str">
        <x:v>DAFTAR TUGAS</x:v>
      </x:c>
      <x:c r="J1" s="3" t="str">
        <x:v>DAFTAR TUGAS</x:v>
      </x:c>
      <x:c r="K1" s="3" t="str">
        <x:v>DAFTAR TUGAS</x:v>
      </x:c>
      <x:c r="L1" s="3" t="str">
        <x:v>DAFTAR TUGAS</x:v>
      </x:c>
    </x:row>
    <x:row r="3">
      <x:c r="A3" s="31" t="str">
        <x:v>ID</x:v>
      </x:c>
      <x:c r="B3" s="31" t="str">
        <x:v>Tugas</x:v>
      </x:c>
      <x:c r="C3" s="31" t="str">
        <x:v>Proyek</x:v>
      </x:c>
      <x:c r="D3" s="31" t="str">
        <x:v>Pemilik</x:v>
      </x:c>
      <x:c r="E3" s="31" t="str">
        <x:v>Status</x:v>
      </x:c>
      <x:c r="F3" s="31" t="str">
        <x:v>Prioritas</x:v>
      </x:c>
      <x:c r="G3" s="31" t="str">
        <x:v>Mulai</x:v>
      </x:c>
      <x:c r="H3" s="31" t="str">
        <x:v>Jatuh Tempo</x:v>
      </x:c>
      <x:c r="I3" s="31" t="str">
        <x:v>Progres</x:v>
      </x:c>
      <x:c r="J3" s="31" t="str">
        <x:v>Hari Tersisa</x:v>
      </x:c>
      <x:c r="K3" s="31" t="str">
        <x:v>Status Keterlambatan</x:v>
      </x:c>
      <x:c r="L3" s="31" t="str">
        <x:v>Catatan</x:v>
      </x:c>
    </x:row>
    <x:row r="4">
      <x:c r="A4" s="40" t="str">
        <x:v>TSK-001</x:v>
      </x:c>
      <x:c r="B4" s="40" t="str">
        <x:v>Siapkan materi promosi</x:v>
      </x:c>
      <x:c r="C4" s="40" t="str">
        <x:v>Promosi Juli</x:v>
      </x:c>
      <x:c r="D4" s="40" t="str">
        <x:v>Andi</x:v>
      </x:c>
      <x:c r="E4" s="40" t="str">
        <x:v>Dikerjakan</x:v>
      </x:c>
      <x:c r="F4" s="40" t="str">
        <x:v>Tinggi</x:v>
      </x:c>
      <x:c r="G4" s="41" t="n">
        <x:v>46211</x:v>
      </x:c>
      <x:c r="H4" s="41" t="n">
        <x:v>46218</x:v>
      </x:c>
      <x:c r="I4" s="42" t="n">
        <x:v>60</x:v>
      </x:c>
      <x:c r="J4" s="40" t="n">
        <x:f>IF(OR(B4="",H4=""),"",H4-TODAY())</x:f>
        <x:v>1</x:v>
      </x:c>
      <x:c r="K4" s="40" t="str">
        <x:f>IF(B4="","",IF(E4="Selesai","Selesai",IF(H4="","Tanpa jatuh tempo",IF(H4&lt;TODAY(),"Lewat jatuh tempo","Aman"))))</x:f>
        <x:v>Aman</x:v>
      </x:c>
      <x:c r="L4" s="40" t="str">
        <x:v>Contoh</x:v>
      </x:c>
    </x:row>
    <x:row r="5">
      <x:c r="A5" s="40" t="str">
        <x:v>TSK-002</x:v>
      </x:c>
      <x:c r="B5" s="40" t="str">
        <x:v>Cek stok kemasan</x:v>
      </x:c>
      <x:c r="C5" s="40" t="str">
        <x:v>Operasional</x:v>
      </x:c>
      <x:c r="D5" s="40" t="str">
        <x:v>Sari</x:v>
      </x:c>
      <x:c r="E5" s="40" t="str">
        <x:v>Belum Dimulai</x:v>
      </x:c>
      <x:c r="F5" s="40" t="str">
        <x:v>Sedang</x:v>
      </x:c>
      <x:c r="G5" s="41" t="n">
        <x:v>46213</x:v>
      </x:c>
      <x:c r="H5" s="41" t="n">
        <x:v>46217</x:v>
      </x:c>
      <x:c r="I5" s="42" t="n">
        <x:v>0</x:v>
      </x:c>
      <x:c r="J5" s="40" t="n">
        <x:f>IF(OR(B5="",H5=""),"",H5-TODAY())</x:f>
        <x:v>0</x:v>
      </x:c>
      <x:c r="K5" s="40" t="str">
        <x:f>IF(B5="","",IF(E5="Selesai","Selesai",IF(H5="","Tanpa jatuh tempo",IF(H5&lt;TODAY(),"Lewat jatuh tempo","Aman"))))</x:f>
        <x:v>Aman</x:v>
      </x:c>
      <x:c r="L5" s="40" t="str">
        <x:v>Contoh</x:v>
      </x:c>
    </x:row>
    <x:row r="6">
      <x:c r="A6" s="40" t="str">
        <x:v>TSK-003</x:v>
      </x:c>
      <x:c r="B6" s="40" t="str">
        <x:v>Kirim rekap mingguan</x:v>
      </x:c>
      <x:c r="C6" s="40" t="str">
        <x:v>Administrasi</x:v>
      </x:c>
      <x:c r="D6" s="40" t="str">
        <x:v>Andi</x:v>
      </x:c>
      <x:c r="E6" s="40" t="str">
        <x:v>Selesai</x:v>
      </x:c>
      <x:c r="F6" s="40" t="str">
        <x:v>Rendah</x:v>
      </x:c>
      <x:c r="G6" s="41" t="n">
        <x:v>46210</x:v>
      </x:c>
      <x:c r="H6" s="41" t="n">
        <x:v>46215</x:v>
      </x:c>
      <x:c r="I6" s="42" t="n">
        <x:v>100</x:v>
      </x:c>
      <x:c r="J6" s="40" t="n">
        <x:f>IF(OR(B6="",H6=""),"",H6-TODAY())</x:f>
        <x:v>-2</x:v>
      </x:c>
      <x:c r="K6" s="40" t="str">
        <x:f>IF(B6="","",IF(E6="Selesai","Selesai",IF(H6="","Tanpa jatuh tempo",IF(H6&lt;TODAY(),"Lewat jatuh tempo","Aman"))))</x:f>
        <x:v>Selesai</x:v>
      </x:c>
      <x:c r="L6" s="40" t="str">
        <x:v>Contoh</x:v>
      </x:c>
    </x:row>
    <x:row r="7">
      <x:c r="A7" s="40" t="str">
        <x:v>TSK-004</x:v>
      </x:c>
      <x:c r="B7" s="40" t="str">
        <x:v>Susun agenda rapat</x:v>
      </x:c>
      <x:c r="C7" s="40" t="str">
        <x:v>Administrasi</x:v>
      </x:c>
      <x:c r="D7" s="40" t="str">
        <x:v>Bima</x:v>
      </x:c>
      <x:c r="E7" s="40" t="str">
        <x:v>Belum Dimulai</x:v>
      </x:c>
      <x:c r="F7" s="40" t="str">
        <x:v>Sedang</x:v>
      </x:c>
      <x:c r="G7" s="41" t="n">
        <x:v>46215</x:v>
      </x:c>
      <x:c r="H7" s="41"/>
      <x:c r="I7" s="42" t="n">
        <x:v>0</x:v>
      </x:c>
      <x:c r="J7" s="40" t="str">
        <x:f>IF(OR(B7="",H7=""),"",H7-TODAY())</x:f>
      </x:c>
      <x:c r="K7" s="40" t="str">
        <x:f>IF(B7="","",IF(E7="Selesai","Selesai",IF(H7="","Tanpa jatuh tempo",IF(H7&lt;TODAY(),"Lewat jatuh tempo","Aman"))))</x:f>
        <x:v>Tanpa jatuh tempo</x:v>
      </x:c>
      <x:c r="L7" s="40" t="str">
        <x:v>Tanpa tenggat contoh</x:v>
      </x:c>
    </x:row>
    <x:row r="8">
      <x:c r="A8" s="40" t="str">
        <x:v>TSK-005</x:v>
      </x:c>
      <x:c r="B8" s="40" t="str"/>
      <x:c r="C8" s="40" t="str"/>
      <x:c r="D8" s="40" t="str"/>
      <x:c r="E8" s="40" t="str">
        <x:v>Belum Dimulai</x:v>
      </x:c>
      <x:c r="F8" s="40" t="str">
        <x:v>Sedang</x:v>
      </x:c>
      <x:c r="G8" s="41"/>
      <x:c r="H8" s="41"/>
      <x:c r="I8" s="42" t="n">
        <x:v>0</x:v>
      </x:c>
      <x:c r="J8" s="40" t="str">
        <x:f>IF(OR(B8="",H8=""),"",H8-TODAY())</x:f>
      </x:c>
      <x:c r="K8" s="40" t="str">
        <x:f>IF(B8="","",IF(E8="Selesai","Selesai",IF(H8="","Tanpa jatuh tempo",IF(H8&lt;TODAY(),"Lewat jatuh tempo","Aman"))))</x:f>
      </x:c>
      <x:c r="L8" s="40" t="str">
        <x:v>Baris siap pakai</x:v>
      </x:c>
    </x:row>
  </x:sheetData>
  <x:mergeCells>
    <x:mergeCell ref="A1:L1"/>
  </x:mergeCells>
  <x:dataValidations count="3">
    <x:dataValidation type="list" sqref="E4:E200">
      <x:formula1>"Belum Dimulai,Dikerjakan,Selesai"</x:formula1>
    </x:dataValidation>
    <x:dataValidation type="list" sqref="F4:F200">
      <x:formula1>"Tinggi,Sedang,Rendah"</x:formula1>
    </x:dataValidation>
    <x:dataValidation type="whole" operator="between" sqref="I4:I2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1b58881d1dc4d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28" customHeight="1">
      <x:c r="A1" s="3" t="str">
        <x:v>PAPAN KANBAN</x:v>
      </x:c>
      <x:c r="B1" s="3" t="str">
        <x:v>PAPAN KANBAN</x:v>
      </x:c>
      <x:c r="C1" s="3" t="str">
        <x:v>PAPAN KANBAN</x:v>
      </x:c>
      <x:c r="D1" s="3" t="str">
        <x:v>PAPAN KANBAN</x:v>
      </x:c>
      <x:c r="E1" s="3" t="str">
        <x:v>PAPAN KANBAN</x:v>
      </x:c>
      <x:c r="F1" s="3" t="str">
        <x:v>PAPAN KANBAN</x:v>
      </x:c>
      <x:c r="G1" s="3" t="str">
        <x:v>PAPAN KANBAN</x:v>
      </x:c>
      <x:c r="H1" s="3" t="str">
        <x:v>PAPAN KANBAN</x:v>
      </x:c>
      <x:c r="I1" s="3" t="str">
        <x:v>PAPAN KANBAN</x:v>
      </x:c>
    </x:row>
    <x:row r="3">
      <x:c r="A3" s="31" t="str">
        <x:v>Belum Dimulai</x:v>
      </x:c>
      <x:c r="B3" s="31" t="str">
        <x:v>Dikerjakan</x:v>
      </x:c>
      <x:c r="C3" s="31" t="str">
        <x:v>Selesai</x:v>
      </x:c>
    </x:row>
    <x:row r="5" ht="22" customHeight="1">
      <x:c r="A5" s="43" t="str" cm="1">
        <x:f t="array" ref="A5:A7">_xlfn._xlws.FILTER('Daftar Tugas'!$B$4:$B$200,'Daftar Tugas'!$E$4:$E$200=A$3,"")</x:f>
        <x:v>Cek stok kemasan</x:v>
      </x:c>
      <x:c r="B5" s="43" t="str" cm="1">
        <x:f t="array" ref="B5">_xlfn._xlws.FILTER('Daftar Tugas'!$B$4:$B$200,'Daftar Tugas'!$E$4:$E$200=B$3,"")</x:f>
        <x:v>Siapkan materi promosi</x:v>
      </x:c>
      <x:c r="C5" s="43" t="str" cm="1">
        <x:f t="array" ref="C5">_xlfn._xlws.FILTER('Daftar Tugas'!$B$4:$B$200,'Daftar Tugas'!$E$4:$E$200=C$3,"")</x:f>
        <x:v>Kirim rekap mingguan</x:v>
      </x:c>
    </x:row>
    <x:row r="6" ht="22" customHeight="1">
      <x:c r="A6" s="43" t="str">
        <x:v>Susun agenda rapat</x:v>
      </x:c>
      <x:c r="B6" s="43"/>
      <x:c r="C6" s="43"/>
    </x:row>
    <x:row r="7" ht="22" customHeight="1">
      <x:c r="A7" s="43" t="str"/>
      <x:c r="B7" s="43"/>
      <x:c r="C7" s="43"/>
    </x:row>
    <x:row r="8" ht="22" customHeight="1">
      <x:c r="A8" s="43"/>
      <x:c r="B8" s="43"/>
      <x:c r="C8" s="43"/>
    </x:row>
    <x:row r="9" ht="22" customHeight="1">
      <x:c r="A9" s="43"/>
      <x:c r="B9" s="43"/>
      <x:c r="C9" s="43"/>
    </x:row>
    <x:row r="10" ht="22" customHeight="1">
      <x:c r="A10" s="43"/>
      <x:c r="B10" s="43"/>
      <x:c r="C10" s="43"/>
    </x:row>
    <x:row r="11" ht="22" customHeight="1">
      <x:c r="A11" s="43"/>
      <x:c r="B11" s="43"/>
      <x:c r="C11" s="43"/>
    </x:row>
    <x:row r="12" ht="22" customHeight="1">
      <x:c r="A12" s="43"/>
      <x:c r="B12" s="43"/>
      <x:c r="C12" s="43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8" customHeight="1">
      <x:c r="A1" s="3" t="str">
        <x:v>RINGKASAN TUGAS</x:v>
      </x:c>
      <x:c r="B1" s="3" t="str">
        <x:v>RINGKASAN TUGAS</x:v>
      </x:c>
      <x:c r="C1" s="3" t="str">
        <x:v>RINGKASAN TUGAS</x:v>
      </x:c>
      <x:c r="D1" s="3" t="str">
        <x:v>RINGKASAN TUGAS</x:v>
      </x:c>
      <x:c r="E1" s="3" t="str">
        <x:v>RINGKASAN TUGAS</x:v>
      </x:c>
      <x:c r="F1" s="3" t="str">
        <x:v>RINGKASAN TUGAS</x:v>
      </x:c>
      <x:c r="G1" s="3" t="str">
        <x:v>RINGKASAN TUGAS</x:v>
      </x:c>
      <x:c r="H1" s="3" t="str">
        <x:v>RINGKASAN TUGAS</x:v>
      </x:c>
      <x:c r="I1" s="3" t="str">
        <x:v>RINGKASAN TUGAS</x:v>
      </x:c>
      <x:c r="J1" s="3" t="str">
        <x:v>RINGKASAN TUGAS</x:v>
      </x:c>
    </x:row>
    <x:row r="3">
      <x:c r="A3" s="7" t="str">
        <x:v>Belum Dimulai</x:v>
      </x:c>
      <x:c r="B3" s="7" t="n">
        <x:f>COUNTIF('Daftar Tugas'!$E$4:$E$200,A3)</x:f>
        <x:v>3</x:v>
      </x:c>
    </x:row>
    <x:row r="4">
      <x:c r="A4" s="7" t="str">
        <x:v>Dikerjakan</x:v>
      </x:c>
      <x:c r="B4" s="7" t="n">
        <x:f>COUNTIF('Daftar Tugas'!$E$4:$E$200,A4)</x:f>
        <x:v>1</x:v>
      </x:c>
    </x:row>
    <x:row r="5">
      <x:c r="A5" s="7" t="str">
        <x:v>Selesai</x:v>
      </x:c>
      <x:c r="B5" s="7" t="n">
        <x:f>COUNTIF('Daftar Tugas'!$E$4:$E$200,A5)</x:f>
        <x:v>1</x:v>
      </x:c>
    </x:row>
    <x:row r="6">
      <x:c r="A6" s="7" t="str">
        <x:v>Lewat Jatuh Tempo</x:v>
      </x:c>
      <x:c r="B6" s="7" t="n">
        <x:f>COUNTIF('Daftar Tugas'!$K$4:$K$200,"Lewat jatuh tempo")</x:f>
        <x:v>0</x:v>
      </x:c>
    </x:row>
    <x:row r="7">
      <x:c r="A7" s="7" t="str">
        <x:v>Tanpa Jatuh Tempo</x:v>
      </x:c>
      <x:c r="B7" s="7" t="n">
        <x:f>COUNTIF('Daftar Tugas'!$K$4:$K$200,"Tanpa jatuh tempo")</x:f>
        <x:v>1</x:v>
      </x:c>
    </x:row>
    <x:row r="10">
      <x:c r="A10" s="31" t="str">
        <x:v>Pemilik</x:v>
      </x:c>
      <x:c r="B10" s="31" t="str">
        <x:v>Jumlah Tugas</x:v>
      </x:c>
    </x:row>
    <x:row r="11">
      <x:c r="A11" t="str">
        <x:v>Andi</x:v>
      </x:c>
      <x:c r="B11" t="n">
        <x:f>COUNTIFS('Daftar Tugas'!$D$4:$D$200,A11,'Daftar Tugas'!$B$4:$B$200,"&lt;&gt;")</x:f>
        <x:v>2</x:v>
      </x:c>
    </x:row>
    <x:row r="12">
      <x:c r="A12" t="str">
        <x:v>Sari</x:v>
      </x:c>
      <x:c r="B12" t="n">
        <x:f>COUNTIFS('Daftar Tugas'!$D$4:$D$200,A12,'Daftar Tugas'!$B$4:$B$200,"&lt;&gt;")</x:f>
        <x:v>1</x:v>
      </x:c>
    </x:row>
    <x:row r="13">
      <x:c r="A13" t="str">
        <x:v>Bima</x:v>
      </x:c>
      <x:c r="B13" t="n">
        <x:f>COUNTIFS('Daftar Tugas'!$D$4:$D$200,A13,'Daftar Tugas'!$B$4:$B$200,"&lt;&gt;")</x:f>
        <x:v>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57ec6a7996e434d"/>
</x:worksheet>
</file>