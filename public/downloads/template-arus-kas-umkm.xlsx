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bba3c2ba4f42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39227a05bc6441aa"/>
    <x:sheet xmlns:r="http://schemas.openxmlformats.org/officeDocument/2006/relationships" name="Catatan Arus Kas" sheetId="2" r:id="R5052c8eae8484b7b"/>
    <x:sheet xmlns:r="http://schemas.openxmlformats.org/officeDocument/2006/relationships" name="Ringkasan Bulanan" sheetId="3" r:id="R18810513db5a4bf4"/>
    <x:sheet xmlns:r="http://schemas.openxmlformats.org/officeDocument/2006/relationships" name="Referensi" sheetId="4" r:id="Rec1412717e194f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[$Rp-421] 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DEFEF"/>
      </x:patternFill>
    </x:fill>
  </x:fills>
  <x:borders count="5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5" borderId="1" xfId="0" applyNumberFormat="1" applyFont="1" applyFill="1" applyBorder="1"/>
    <x:xf numFmtId="0" fontId="0" fillId="5" borderId="1" xfId="0" applyNumberFormat="1" applyFont="1" applyFill="1" applyBorder="1"/>
    <x:xf numFmtId="201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1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60e79fbd6546c6" /><Relationship Type="http://schemas.openxmlformats.org/officeDocument/2006/relationships/theme" Target="/xl/theme/theme1.xml" Id="Rbd7f7495e20341f2" /><Relationship Type="http://schemas.openxmlformats.org/officeDocument/2006/relationships/sharedStrings" Target="/xl/sharedStrings.xml" Id="R98c629f6859d4ae0" /><Relationship Type="http://schemas.openxmlformats.org/officeDocument/2006/relationships/worksheet" Target="/xl/worksheets/sheet1.xml" Id="R39227a05bc6441aa" /><Relationship Type="http://schemas.openxmlformats.org/officeDocument/2006/relationships/worksheet" Target="/xl/worksheets/sheet2.xml" Id="R5052c8eae8484b7b" /><Relationship Type="http://schemas.openxmlformats.org/officeDocument/2006/relationships/worksheet" Target="/xl/worksheets/sheet3.xml" Id="R18810513db5a4bf4" /><Relationship Type="http://schemas.openxmlformats.org/officeDocument/2006/relationships/worksheet" Target="/xl/worksheets/sheet4.xml" Id="Rec1412717e194fd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08544cf6694b8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Pengeluaran per Kategori</a:t>
            </a:r>
          </a:p>
        </c:rich>
      </c:tx>
    </c:title>
    <c:plotArea>
      <c:doughnutChart>
        <c:ser>
          <c:idx val="0"/>
          <c:order val="0"/>
          <c:tx>
            <c:v>Pengeluaran</c:v>
          </c:tx>
          <c:cat>
            <c:strRef>
              <c:f>'Ringkasan Bulanan'!$A$11:$A$13</c:f>
              <c:strCache>
                <c:ptCount val="0"/>
              </c:strCache>
            </c:strRef>
          </c:cat>
          <c:val>
            <c:numRef>
              <c:f>'Ringkasan Bulanan'!$B$11:$B$13</c:f>
              <c:numCache>
                <c:formatCode>[$Rp-421] #,##0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08544cf6694b8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shFlowTable" displayName="CashFlowTable" ref="A3:G9" headerRowCount="1" totalsRowCount="0" totalsRowShown="0">
  <x:tableColumns count="7">
    <x:tableColumn id="1" name="Tanggal"/>
    <x:tableColumn id="2" name="Jenis Arus"/>
    <x:tableColumn id="3" name="Kategori"/>
    <x:tableColumn id="4" name="Keterangan"/>
    <x:tableColumn id="5" name="Metode"/>
    <x:tableColumn id="6" name="Nominal"/>
    <x:tableColumn id="7" name="Bul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27241d331443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ba2d90be94b41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6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4" t="str">
        <x:v>Template Arus Kas UMKM</x:v>
      </x:c>
      <x:c r="B1" s="4" t="str">
        <x:v>Template Arus Kas UMKM</x:v>
      </x:c>
      <x:c r="C1" s="4" t="str">
        <x:v>Template Arus Kas UMKM</x:v>
      </x:c>
      <x:c r="D1" s="4" t="str">
        <x:v>Template Arus Kas UMKM</x:v>
      </x:c>
      <x:c r="E1" s="4" t="str">
        <x:v>Template Arus Kas UMKM</x:v>
      </x:c>
      <x:c r="F1" s="4" t="str">
        <x:v>Template Arus Kas UMKM</x:v>
      </x:c>
    </x:row>
    <x:row r="3">
      <x:c r="A3" s="6" t="str">
        <x:v>Mulai dari sini</x:v>
      </x:c>
      <x:c r="B3" s="6" t="str">
        <x:v>Mulai dari sini</x:v>
      </x:c>
      <x:c r="C3" s="6" t="str">
        <x:v>Mulai dari sini</x:v>
      </x:c>
      <x:c r="D3" s="6" t="str">
        <x:v>Mulai dari sini</x:v>
      </x:c>
      <x:c r="E3" s="6" t="str">
        <x:v>Mulai dari sini</x:v>
      </x:c>
      <x:c r="F3" s="6" t="str">
        <x:v>Mulai dari sini</x:v>
      </x:c>
    </x:row>
    <x:row r="5">
      <x:c r="A5" s="9" t="n">
        <x:v>1</x:v>
      </x:c>
      <x:c r="B5" s="9" t="str">
        <x:v>Masukkan setiap uang masuk atau uang keluar sebagai satu baris pada Catatan Arus Kas.</x:v>
      </x:c>
      <x:c r="C5" s="9"/>
      <x:c r="D5" s="9"/>
      <x:c r="E5" s="9"/>
      <x:c r="F5" s="9"/>
    </x:row>
    <x:row r="6">
      <x:c r="A6" s="9" t="n">
        <x:v>2</x:v>
      </x:c>
      <x:c r="B6" s="9" t="str">
        <x:v>Pilih jenis arus dan kategori dari dropdown agar perhitungan ringkasan konsisten.</x:v>
      </x:c>
      <x:c r="C6" s="9"/>
      <x:c r="D6" s="9"/>
      <x:c r="E6" s="9"/>
      <x:c r="F6" s="9"/>
    </x:row>
    <x:row r="7">
      <x:c r="A7" s="9" t="n">
        <x:v>3</x:v>
      </x:c>
      <x:c r="B7" s="9" t="str">
        <x:v>Isi saldo awal pada Ringkasan Bulanan sesuai uang kas yang benar-benar tersedia.</x:v>
      </x:c>
      <x:c r="C7" s="9"/>
      <x:c r="D7" s="9"/>
      <x:c r="E7" s="9"/>
      <x:c r="F7" s="9"/>
    </x:row>
    <x:row r="8">
      <x:c r="A8" s="9" t="n">
        <x:v>4</x:v>
      </x:c>
      <x:c r="B8" s="9" t="str">
        <x:v>Gunakan ringkasan sebagai catatan operasional, lalu cocokkan dengan bukti transaksi usaha.</x:v>
      </x:c>
      <x:c r="C8" s="9"/>
      <x:c r="D8" s="9"/>
      <x:c r="E8" s="9"/>
      <x:c r="F8" s="9"/>
    </x:row>
    <x:row r="11">
      <x:c r="A11" s="6" t="str">
        <x:v>Batasan penggunaan</x:v>
      </x:c>
      <x:c r="B11" s="6" t="str">
        <x:v>Batasan penggunaan</x:v>
      </x:c>
      <x:c r="C11" s="6" t="str">
        <x:v>Batasan penggunaan</x:v>
      </x:c>
      <x:c r="D11" s="6" t="str">
        <x:v>Batasan penggunaan</x:v>
      </x:c>
      <x:c r="E11" s="6" t="str">
        <x:v>Batasan penggunaan</x:v>
      </x:c>
      <x:c r="F11" s="6" t="str">
        <x:v>Batasan penggunaan</x:v>
      </x:c>
    </x:row>
    <x:row r="13">
      <x:c r="A13" s="14" t="str">
        <x:v>Template ini mencatat arus kas sederhana. Template ini bukan laporan keuangan, catatan pajak, atau nasihat akuntansi; saldo hanya akurat bila semua transaksi dicatat.</x:v>
      </x:c>
      <x:c r="B13" s="15"/>
      <x:c r="C13" s="15"/>
      <x:c r="D13" s="15"/>
      <x:c r="E13" s="15"/>
      <x:c r="F13" s="16"/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4" t="str">
        <x:v>CATATAN ARUS KAS UMKM</x:v>
      </x:c>
      <x:c r="B1" s="4" t="str">
        <x:v>CATATAN ARUS KAS UMKM</x:v>
      </x:c>
      <x:c r="C1" s="4" t="str">
        <x:v>CATATAN ARUS KAS UMKM</x:v>
      </x:c>
      <x:c r="D1" s="4" t="str">
        <x:v>CATATAN ARUS KAS UMKM</x:v>
      </x:c>
      <x:c r="E1" s="4" t="str">
        <x:v>CATATAN ARUS KAS UMKM</x:v>
      </x:c>
      <x:c r="F1" s="4" t="str">
        <x:v>CATATAN ARUS KAS UMKM</x:v>
      </x:c>
      <x:c r="G1" s="4" t="str">
        <x:v>CATATAN ARUS KAS UMKM</x:v>
      </x:c>
    </x:row>
    <x:row r="3">
      <x:c r="A3" s="20" t="str">
        <x:v>Tanggal</x:v>
      </x:c>
      <x:c r="B3" s="20" t="str">
        <x:v>Jenis Arus</x:v>
      </x:c>
      <x:c r="C3" s="20" t="str">
        <x:v>Kategori</x:v>
      </x:c>
      <x:c r="D3" s="20" t="str">
        <x:v>Keterangan</x:v>
      </x:c>
      <x:c r="E3" s="20" t="str">
        <x:v>Metode</x:v>
      </x:c>
      <x:c r="F3" s="20" t="str">
        <x:v>Nominal</x:v>
      </x:c>
      <x:c r="G3" s="20" t="str">
        <x:v>Bulan</x:v>
      </x:c>
    </x:row>
    <x:row r="4">
      <x:c r="A4" s="25" t="n">
        <x:v>46204</x:v>
      </x:c>
      <x:c r="B4" s="26" t="str">
        <x:v>Masuk</x:v>
      </x:c>
      <x:c r="C4" s="26" t="str">
        <x:v>Penjualan</x:v>
      </x:c>
      <x:c r="D4" s="26" t="str">
        <x:v>Penjualan hari pertama</x:v>
      </x:c>
      <x:c r="E4" s="26" t="str">
        <x:v>QRIS</x:v>
      </x:c>
      <x:c r="F4" s="27" t="n">
        <x:v>350000</x:v>
      </x:c>
      <x:c r="G4" s="7" t="str">
        <x:f>TEXT(A4,"yyyy-mm")</x:f>
        <x:v>2026-07</x:v>
      </x:c>
    </x:row>
    <x:row r="5">
      <x:c r="A5" s="25" t="n">
        <x:v>46205</x:v>
      </x:c>
      <x:c r="B5" s="26" t="str">
        <x:v>Keluar</x:v>
      </x:c>
      <x:c r="C5" s="26" t="str">
        <x:v>Bahan Baku</x:v>
      </x:c>
      <x:c r="D5" s="26" t="str">
        <x:v>Belanja bahan</x:v>
      </x:c>
      <x:c r="E5" s="26" t="str">
        <x:v>Transfer</x:v>
      </x:c>
      <x:c r="F5" s="27" t="n">
        <x:v>125000</x:v>
      </x:c>
      <x:c r="G5" s="7" t="str">
        <x:f>TEXT(A5,"yyyy-mm")</x:f>
        <x:v>2026-07</x:v>
      </x:c>
    </x:row>
    <x:row r="6">
      <x:c r="A6" s="25" t="n">
        <x:v>46207</x:v>
      </x:c>
      <x:c r="B6" s="26" t="str">
        <x:v>Keluar</x:v>
      </x:c>
      <x:c r="C6" s="26" t="str">
        <x:v>Operasional</x:v>
      </x:c>
      <x:c r="D6" s="26" t="str">
        <x:v>Ongkir dan kemasan</x:v>
      </x:c>
      <x:c r="E6" s="26" t="str">
        <x:v>Tunai</x:v>
      </x:c>
      <x:c r="F6" s="27" t="n">
        <x:v>45000</x:v>
      </x:c>
      <x:c r="G6" s="7" t="str">
        <x:f>TEXT(A6,"yyyy-mm")</x:f>
        <x:v>2026-07</x:v>
      </x:c>
    </x:row>
    <x:row r="7">
      <x:c r="A7" s="25" t="n">
        <x:v>46210</x:v>
      </x:c>
      <x:c r="B7" s="26" t="str">
        <x:v>Masuk</x:v>
      </x:c>
      <x:c r="C7" s="26" t="str">
        <x:v>Penjualan</x:v>
      </x:c>
      <x:c r="D7" s="26" t="str">
        <x:v>Pesanan kantor</x:v>
      </x:c>
      <x:c r="E7" s="26" t="str">
        <x:v>Transfer</x:v>
      </x:c>
      <x:c r="F7" s="27" t="n">
        <x:v>500000</x:v>
      </x:c>
      <x:c r="G7" s="7" t="str">
        <x:f>TEXT(A7,"yyyy-mm")</x:f>
        <x:v>2026-07</x:v>
      </x:c>
    </x:row>
    <x:row r="8">
      <x:c r="A8" s="25" t="n">
        <x:v>46212</x:v>
      </x:c>
      <x:c r="B8" s="26" t="str">
        <x:v>Keluar</x:v>
      </x:c>
      <x:c r="C8" s="26" t="str">
        <x:v>Operasional</x:v>
      </x:c>
      <x:c r="D8" s="26" t="str">
        <x:v>Pulsa usaha</x:v>
      </x:c>
      <x:c r="E8" s="26" t="str">
        <x:v>QRIS</x:v>
      </x:c>
      <x:c r="F8" s="27" t="n">
        <x:v>30000</x:v>
      </x:c>
      <x:c r="G8" s="7" t="str">
        <x:f>TEXT(A8,"yyyy-mm")</x:f>
        <x:v>2026-07</x:v>
      </x:c>
    </x:row>
    <x:row r="9">
      <x:c r="A9" s="25" t="n">
        <x:v>46214</x:v>
      </x:c>
      <x:c r="B9" s="26" t="str">
        <x:v>Masuk</x:v>
      </x:c>
      <x:c r="C9" s="26" t="str">
        <x:v>Lainnya</x:v>
      </x:c>
      <x:c r="D9" s="26" t="str">
        <x:v>Pengembalian dana</x:v>
      </x:c>
      <x:c r="E9" s="26" t="str">
        <x:v>Transfer</x:v>
      </x:c>
      <x:c r="F9" s="27" t="n">
        <x:v>50000</x:v>
      </x:c>
      <x:c r="G9" s="7" t="str">
        <x:f>TEXT(A9,"yyyy-mm")</x:f>
        <x:v>2026-07</x:v>
      </x:c>
    </x:row>
  </x:sheetData>
  <x:mergeCells>
    <x:mergeCell ref="A1:G1"/>
  </x:mergeCells>
  <x:dataValidations count="3">
    <x:dataValidation type="list" sqref="B4:B120">
      <x:formula1>"Masuk,Keluar"</x:formula1>
    </x:dataValidation>
    <x:dataValidation type="list" sqref="C4:C120">
      <x:formula1>"Penjualan,Bahan Baku,Operasional,Lainnya"</x:formula1>
    </x:dataValidation>
    <x:dataValidation type="list" sqref="E4:E120">
      <x:formula1>"Tunai,Transfer,QRIS"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27241d331443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8" customHeight="1">
      <x:c r="A1" s="4" t="str">
        <x:v>RINGKASAN ARUS KAS BULANAN</x:v>
      </x:c>
      <x:c r="B1" s="4" t="str">
        <x:v>RINGKASAN ARUS KAS BULANAN</x:v>
      </x:c>
      <x:c r="C1" s="4" t="str">
        <x:v>RINGKASAN ARUS KAS BULANAN</x:v>
      </x:c>
      <x:c r="D1" s="4" t="str">
        <x:v>RINGKASAN ARUS KAS BULANAN</x:v>
      </x:c>
      <x:c r="E1" s="4" t="str">
        <x:v>RINGKASAN ARUS KAS BULANAN</x:v>
      </x:c>
      <x:c r="F1" s="4" t="str">
        <x:v>RINGKASAN ARUS KAS BULANAN</x:v>
      </x:c>
      <x:c r="G1" s="4" t="str">
        <x:v>RINGKASAN ARUS KAS BULANAN</x:v>
      </x:c>
      <x:c r="H1" s="4" t="str">
        <x:v>RINGKASAN ARUS KAS BULANAN</x:v>
      </x:c>
      <x:c r="I1" s="4" t="str">
        <x:v>RINGKASAN ARUS KAS BULANAN</x:v>
      </x:c>
    </x:row>
    <x:row r="3">
      <x:c r="A3" s="29" t="str">
        <x:v>Bulan</x:v>
      </x:c>
      <x:c r="B3" s="29" t="str">
        <x:v>2026-07</x:v>
      </x:c>
    </x:row>
    <x:row r="4">
      <x:c r="A4" s="29" t="str">
        <x:v>Saldo Awal</x:v>
      </x:c>
      <x:c r="B4" s="30" t="n">
        <x:v>1000000</x:v>
      </x:c>
    </x:row>
    <x:row r="5">
      <x:c r="A5" s="29" t="str">
        <x:v>Total Masuk</x:v>
      </x:c>
      <x:c r="B5" s="30" t="n">
        <x:f>SUMIFS('Catatan Arus Kas'!$F$4:$F$120,'Catatan Arus Kas'!$B$4:$B$120,"Masuk",'Catatan Arus Kas'!$G$4:$G$120,B3)</x:f>
        <x:v>900000</x:v>
      </x:c>
    </x:row>
    <x:row r="6">
      <x:c r="A6" s="29" t="str">
        <x:v>Total Keluar</x:v>
      </x:c>
      <x:c r="B6" s="30" t="n">
        <x:f>SUMIFS('Catatan Arus Kas'!$F$4:$F$120,'Catatan Arus Kas'!$B$4:$B$120,"Keluar",'Catatan Arus Kas'!$G$4:$G$120,B3)</x:f>
        <x:v>200000</x:v>
      </x:c>
    </x:row>
    <x:row r="7">
      <x:c r="A7" s="29" t="str">
        <x:v>Saldo Akhir</x:v>
      </x:c>
      <x:c r="B7" s="30" t="n">
        <x:f>B4+B5-B6</x:f>
        <x:v>1700000</x:v>
      </x:c>
    </x:row>
    <x:row r="10">
      <x:c r="A10" s="20" t="str">
        <x:v>Kategori</x:v>
      </x:c>
      <x:c r="B10" s="20" t="str">
        <x:v>Pengeluaran</x:v>
      </x:c>
    </x:row>
    <x:row r="11">
      <x:c r="A11" s="7" t="str">
        <x:v>Bahan Baku</x:v>
      </x:c>
      <x:c r="B11" s="24" t="n">
        <x:f>SUMIFS('Catatan Arus Kas'!$F$4:$F$120,'Catatan Arus Kas'!$B$4:$B$120,"Keluar",'Catatan Arus Kas'!$C$4:$C$120,A11,'Catatan Arus Kas'!$G$4:$G$120,$B$3)</x:f>
        <x:v>125000</x:v>
      </x:c>
    </x:row>
    <x:row r="12">
      <x:c r="A12" s="7" t="str">
        <x:v>Operasional</x:v>
      </x:c>
      <x:c r="B12" s="24" t="n">
        <x:f>SUMIFS('Catatan Arus Kas'!$F$4:$F$120,'Catatan Arus Kas'!$B$4:$B$120,"Keluar",'Catatan Arus Kas'!$C$4:$C$120,A12,'Catatan Arus Kas'!$G$4:$G$120,$B$3)</x:f>
        <x:v>75000</x:v>
      </x:c>
    </x:row>
    <x:row r="13">
      <x:c r="A13" s="7" t="str">
        <x:v>Lainnya</x:v>
      </x:c>
      <x:c r="B13" s="24" t="n">
        <x:f>SUMIFS('Catatan Arus Kas'!$F$4:$F$120,'Catatan Arus Kas'!$B$4:$B$120,"Keluar",'Catatan Arus Kas'!$C$4:$C$120,A13,'Catatan Arus Kas'!$G$4:$G$120,$B$3)</x:f>
        <x:v>0</x:v>
      </x:c>
    </x:row>
  </x:sheetData>
  <x:mergeCells>
    <x:mergeCell ref="A1:I1"/>
  </x:mergeCells>
  <x:pageMargins left="0.7" right="0.7" top="0.75" bottom="0.75" header="0.3" footer="0.3"/>
  <x:drawing xmlns:r="http://schemas.openxmlformats.org/officeDocument/2006/relationships" r:id="R3ba2d90be94b41ac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8" customHeight="1">
      <x:c r="A1" s="4" t="str">
        <x:v>REFERENSI KATEGORI</x:v>
      </x:c>
      <x:c r="B1" s="4" t="str">
        <x:v>REFERENSI KATEGORI</x:v>
      </x:c>
      <x:c r="C1" s="4" t="str">
        <x:v>REFERENSI KATEGORI</x:v>
      </x:c>
    </x:row>
    <x:row r="3">
      <x:c r="A3" s="20" t="str">
        <x:v>Jenis Arus</x:v>
      </x:c>
      <x:c r="B3" s="20" t="str">
        <x:v>Kategori</x:v>
      </x:c>
      <x:c r="C3" s="20" t="str">
        <x:v>Metode</x:v>
      </x:c>
    </x:row>
    <x:row r="4">
      <x:c r="A4" s="7" t="str">
        <x:v>Masuk</x:v>
      </x:c>
      <x:c r="B4" s="7" t="str">
        <x:v>Penjualan</x:v>
      </x:c>
      <x:c r="C4" s="7" t="str">
        <x:v>Tunai</x:v>
      </x:c>
    </x:row>
    <x:row r="5">
      <x:c r="A5" s="7" t="str">
        <x:v>Keluar</x:v>
      </x:c>
      <x:c r="B5" s="7" t="str">
        <x:v>Bahan Baku</x:v>
      </x:c>
      <x:c r="C5" s="7" t="str">
        <x:v>Transfer</x:v>
      </x:c>
    </x:row>
    <x:row r="6">
      <x:c r="A6" s="7" t="str"/>
      <x:c r="B6" s="7" t="str">
        <x:v>Operasional</x:v>
      </x:c>
      <x:c r="C6" s="7" t="str">
        <x:v>QRIS</x:v>
      </x:c>
    </x:row>
  </x:sheetData>
  <x:mergeCells>
    <x:mergeCell ref="A1:C1"/>
  </x:mergeCells>
  <x:pageMargins left="0.7" right="0.7" top="0.75" bottom="0.75" header="0.3" footer="0.3"/>
</x:worksheet>
</file>