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ra Pakai" sheetId="1" state="visible" r:id="rId3"/>
    <sheet name="Anggaran Bulanan" sheetId="2" state="visible" r:id="rId4"/>
    <sheet name="Catatan Transaksi" sheetId="3" state="visible" r:id="rId5"/>
    <sheet name="Dashboard Ringkasa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<sst xmlns="http://schemas.openxmlformats.org/spreadsheetml/2006/main" count="77" uniqueCount="63">
  <si>
    <t xml:space="preserve">Cara Pakai — Template Budget Bulanan &amp; Expense Tracker Pribadi</t>
  </si>
  <si>
    <t xml:space="preserve">1. Buka sheet "Anggaran Bulanan" lalu isi/ubah kolom Target Budget (Rp) sesuai kondisi keuanganmu.</t>
  </si>
  <si>
    <t xml:space="preserve">2. Setiap ada pemasukan atau pengeluaran, catat di sheet "Catatan Transaksi" — pilih Kategori dan Jenis lewat dropdown supaya data tetap rapi.</t>
  </si>
  <si>
    <t xml:space="preserve">3. Buka sheet "Dashboard Ringkasan" untuk melihat realisasi per kategori, sisa uang, status anggaran, dan grafik otomatis.</t>
  </si>
  <si>
    <t xml:space="preserve">4. Baris contoh di sheet "Catatan Transaksi" (bertanda "(contoh)") boleh dihapus atau ditimpa dengan transaksi kamu sendiri.</t>
  </si>
  <si>
    <t xml:space="preserve">Daftar isi file ini:</t>
  </si>
  <si>
    <t xml:space="preserve">- Cara Pakai: panduan singkat (sheet ini)</t>
  </si>
  <si>
    <t xml:space="preserve">- Anggaran Bulanan: daftar kategori pengeluaran &amp; target budget bulanan</t>
  </si>
  <si>
    <t xml:space="preserve">- Catatan Transaksi: log harian pemasukan/pengeluaran (bisa disortir &amp; difilter)</t>
  </si>
  <si>
    <t xml:space="preserve">- Dashboard Ringkasan: rekap otomatis, status per kategori, dan grafik</t>
  </si>
  <si>
    <t xml:space="preserve">Catatan: sel berwarna biru adalah tempat kamu mengisi data, sel hitam adalah hasil rumus otomatis — sebaiknya jangan diubah.</t>
  </si>
  <si>
    <t xml:space="preserve">Kategori</t>
  </si>
  <si>
    <t xml:space="preserve">Target Budget (Rp)</t>
  </si>
  <si>
    <t xml:space="preserve">Catatan</t>
  </si>
  <si>
    <t xml:space="preserve">Pemasukan (Gaji/Lainnya)</t>
  </si>
  <si>
    <t xml:space="preserve">-</t>
  </si>
  <si>
    <t xml:space="preserve">Untuk mencatat pemasukan, bukan target belanja</t>
  </si>
  <si>
    <t xml:space="preserve">Makanan &amp; Minuman</t>
  </si>
  <si>
    <t xml:space="preserve">Tempat Tinggal (Kos/Sewa)</t>
  </si>
  <si>
    <t xml:space="preserve">Tagihan (Listrik/Air/Internet/Pulsa)</t>
  </si>
  <si>
    <t xml:space="preserve">Transportasi</t>
  </si>
  <si>
    <t xml:space="preserve">Pendidikan/Kursus</t>
  </si>
  <si>
    <t xml:space="preserve">Kesehatan</t>
  </si>
  <si>
    <t xml:space="preserve">Hiburan &amp; Gaya Hidup</t>
  </si>
  <si>
    <t xml:space="preserve">Tabungan/Investasi</t>
  </si>
  <si>
    <t xml:space="preserve">Uang yang disisihkan, dihitung sebagai pengeluaran terencana</t>
  </si>
  <si>
    <t xml:space="preserve">Lain-lain</t>
  </si>
  <si>
    <t xml:space="preserve">Total Target Belanja Bulanan</t>
  </si>
  <si>
    <t xml:space="preserve">Tanggal</t>
  </si>
  <si>
    <t xml:space="preserve">Keterangan</t>
  </si>
  <si>
    <t xml:space="preserve">Jenis</t>
  </si>
  <si>
    <t xml:space="preserve">Jumlah (Rp)</t>
  </si>
  <si>
    <t xml:space="preserve">2026-07-01</t>
  </si>
  <si>
    <t xml:space="preserve">Gaji bulan Juli (contoh)</t>
  </si>
  <si>
    <t xml:space="preserve">Pemasukan</t>
  </si>
  <si>
    <t xml:space="preserve">2026-07-02</t>
  </si>
  <si>
    <t xml:space="preserve">Bayar sewa kos bulan Juli (contoh)</t>
  </si>
  <si>
    <t xml:space="preserve">Pengeluaran</t>
  </si>
  <si>
    <t xml:space="preserve">2026-07-03</t>
  </si>
  <si>
    <t xml:space="preserve">Belanja bulanan di minimarket (contoh)</t>
  </si>
  <si>
    <t xml:space="preserve">2026-07-05</t>
  </si>
  <si>
    <t xml:space="preserve">Isi bensin motor (contoh)</t>
  </si>
  <si>
    <t xml:space="preserve">2026-07-06</t>
  </si>
  <si>
    <t xml:space="preserve">Bayar token listrik (contoh)</t>
  </si>
  <si>
    <t xml:space="preserve">2026-07-07</t>
  </si>
  <si>
    <t xml:space="preserve">Setor ke rekening tabungan (contoh)</t>
  </si>
  <si>
    <t xml:space="preserve">2026-07-08</t>
  </si>
  <si>
    <t xml:space="preserve">Nonton bioskop bareng teman (contoh)</t>
  </si>
  <si>
    <t xml:space="preserve">Dashboard Ringkasan — Budget Bulanan</t>
  </si>
  <si>
    <t xml:space="preserve">Bulan</t>
  </si>
  <si>
    <t xml:space="preserve">Juli 2026</t>
  </si>
  <si>
    <t xml:space="preserve">Ringkasan Utama</t>
  </si>
  <si>
    <t xml:space="preserve">Total Pemasukan Bulan Ini</t>
  </si>
  <si>
    <t xml:space="preserve">Total Pengeluaran Bulan Ini</t>
  </si>
  <si>
    <t xml:space="preserve">Sisa Uang (Belum Teralokasi)</t>
  </si>
  <si>
    <t xml:space="preserve">Status Sisa Uang</t>
  </si>
  <si>
    <t xml:space="preserve">Rincian Anggaran per Kategori</t>
  </si>
  <si>
    <t xml:space="preserve">Target Budget</t>
  </si>
  <si>
    <t xml:space="preserve">Realisasi</t>
  </si>
  <si>
    <t xml:space="preserve">Sisa</t>
  </si>
  <si>
    <t xml:space="preserve">% Terpakai</t>
  </si>
  <si>
    <t xml:space="preserve">Status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</si>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</sst>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Cambria"/>
      <family val="0"/>
      <charset val="1"/>
    </font>
    <font>
      <sz val="11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8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8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ont>
        <b val="1"/>
        <color rgb="FFCC0000"/>
      </font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A64F"/>
      <rgbColor rgb="FF800080"/>
      <rgbColor rgb="FF4F81BD"/>
      <rgbColor rgb="FFBFBFBF"/>
      <rgbColor rgb="FF808080"/>
      <rgbColor rgb="FF93A9CE"/>
      <rgbColor rgb="FFAB4744"/>
      <rgbColor rgb="FFF9F9F9"/>
      <rgbColor rgb="FFF2F2F2"/>
      <rgbColor rgb="FF660066"/>
      <rgbColor rgb="FFDC853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B8CD97"/>
      <rgbColor rgb="FFD09493"/>
      <rgbColor rgb="FFCC99FF"/>
      <rgbColor rgb="FFFFC7CE"/>
      <rgbColor rgb="FF4672A8"/>
      <rgbColor rgb="FF33CCCC"/>
      <rgbColor rgb="FF99CC00"/>
      <rgbColor rgb="FFFFCC00"/>
      <rgbColor rgb="FFFF9900"/>
      <rgbColor rgb="FFFF6600"/>
      <rgbColor rgb="FF725990"/>
      <rgbColor rgb="FF878787"/>
      <rgbColor rgb="FF003366"/>
      <rgbColor rgb="FF4299B0"/>
      <rgbColor rgb="FF003300"/>
      <rgbColor rgb="FF333300"/>
      <rgbColor rgb="FF993300"/>
      <rgbColor rgb="FFC0504D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Target vs Realisasi per Kategori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'Dashboard Ringkasan'!B12</c:f>
              <c:strCache>
                <c:ptCount val="1"/>
                <c:pt idx="0">
                  <c:v>Target Budget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'Dashboard Ringkasan'!$A$13:$A$21</c:f>
              <c:strCache>
                <c:ptCount val="9"/>
                <c:pt idx="0">
                  <c:v>Makanan &amp; Minuman</c:v>
                </c:pt>
                <c:pt idx="1">
                  <c:v>Tempat Tinggal (Kos/Sewa)</c:v>
                </c:pt>
                <c:pt idx="2">
                  <c:v>Tagihan (Listrik/Air/Internet/Pulsa)</c:v>
                </c:pt>
                <c:pt idx="3">
                  <c:v>Transportasi</c:v>
                </c:pt>
                <c:pt idx="4">
                  <c:v>Pendidikan/Kursus</c:v>
                </c:pt>
                <c:pt idx="5">
                  <c:v>Kesehatan</c:v>
                </c:pt>
                <c:pt idx="6">
                  <c:v>Hiburan &amp; Gaya Hidup</c:v>
                </c:pt>
                <c:pt idx="7">
                  <c:v>Tabungan/Investasi</c:v>
                </c:pt>
                <c:pt idx="8">
                  <c:v>Lain-lain</c:v>
                </c:pt>
              </c:strCache>
            </c:strRef>
          </c:cat>
          <c:val>
            <c:numRef>
              <c:f>'Dashboard Ringkasan'!$B$13:$B$21</c:f>
              <c:numCache>
                <c:formatCode>General</c:formatCode>
                <c:ptCount val="9"/>
                <c:pt idx="0">
                  <c:v>1500000</c:v>
                </c:pt>
                <c:pt idx="1">
                  <c:v>1200000</c:v>
                </c:pt>
                <c:pt idx="2">
                  <c:v>400000</c:v>
                </c:pt>
                <c:pt idx="3">
                  <c:v>500000</c:v>
                </c:pt>
                <c:pt idx="4">
                  <c:v>300000</c:v>
                </c:pt>
                <c:pt idx="5">
                  <c:v>200000</c:v>
                </c:pt>
                <c:pt idx="6">
                  <c:v>300000</c:v>
                </c:pt>
                <c:pt idx="7">
                  <c:v>600000</c:v>
                </c:pt>
                <c:pt idx="8">
                  <c:v>200000</c:v>
                </c:pt>
              </c:numCache>
            </c:numRef>
          </c:val>
        </c:ser>
        <c:ser>
          <c:idx val="1"/>
          <c:order val="1"/>
          <c:tx>
            <c:strRef>
              <c:f>'Dashboard Ringkasan'!C12</c:f>
              <c:strCache>
                <c:ptCount val="1"/>
                <c:pt idx="0">
                  <c:v>Realisasi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'Dashboard Ringkasan'!$A$13:$A$21</c:f>
              <c:strCache>
                <c:ptCount val="9"/>
                <c:pt idx="0">
                  <c:v>Makanan &amp; Minuman</c:v>
                </c:pt>
                <c:pt idx="1">
                  <c:v>Tempat Tinggal (Kos/Sewa)</c:v>
                </c:pt>
                <c:pt idx="2">
                  <c:v>Tagihan (Listrik/Air/Internet/Pulsa)</c:v>
                </c:pt>
                <c:pt idx="3">
                  <c:v>Transportasi</c:v>
                </c:pt>
                <c:pt idx="4">
                  <c:v>Pendidikan/Kursus</c:v>
                </c:pt>
                <c:pt idx="5">
                  <c:v>Kesehatan</c:v>
                </c:pt>
                <c:pt idx="6">
                  <c:v>Hiburan &amp; Gaya Hidup</c:v>
                </c:pt>
                <c:pt idx="7">
                  <c:v>Tabungan/Investasi</c:v>
                </c:pt>
                <c:pt idx="8">
                  <c:v>Lain-lain</c:v>
                </c:pt>
              </c:strCache>
            </c:strRef>
          </c:cat>
          <c:val>
            <c:numRef>
              <c:f>'Dashboard Ringkasan'!$C$13:$C$21</c:f>
              <c:numCache>
                <c:formatCode>General</c:formatCode>
                <c:ptCount val="9"/>
                <c:pt idx="0">
                  <c:v>350000</c:v>
                </c:pt>
                <c:pt idx="1">
                  <c:v>1200000</c:v>
                </c:pt>
                <c:pt idx="2">
                  <c:v>150000</c:v>
                </c:pt>
                <c:pt idx="3">
                  <c:v>100000</c:v>
                </c:pt>
                <c:pt idx="4">
                  <c:v>0</c:v>
                </c:pt>
                <c:pt idx="5">
                  <c:v>0</c:v>
                </c:pt>
                <c:pt idx="6">
                  <c:v>75000</c:v>
                </c:pt>
                <c:pt idx="7">
                  <c:v>600000</c:v>
                </c:pt>
                <c:pt idx="8">
                  <c:v>0</c:v>
                </c:pt>
              </c:numCache>
            </c:numRef>
          </c:val>
        </c:ser>
        <c:gapWidth val="150"/>
        <c:overlap val="0"/>
        <c:axId val="70575321"/>
        <c:axId val="79067438"/>
      </c:barChart>
      <c:catAx>
        <c:axId val="7057532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Kategori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067438"/>
        <c:crosses val="autoZero"/>
        <c:auto val="1"/>
        <c:lblAlgn val="ctr"/>
        <c:lblOffset val="100"/>
        <c:noMultiLvlLbl val="0"/>
      </c:catAx>
      <c:valAx>
        <c:axId val="790674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Rupiah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57532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Proporsi Realisasi Pengeluaran per Kategori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'Dashboard Ringkasan'!C12</c:f>
              <c:strCache>
                <c:ptCount val="1"/>
                <c:pt idx="0">
                  <c:v>Realisasi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0">
                <a:noFill/>
              </a:ln>
            </c:spPr>
          </c:dPt>
          <c:dPt>
            <c:idx val="8"/>
            <c:spPr>
              <a:solidFill>
                <a:srgbClr val="b8cd97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'Dashboard Ringkasan'!$A$13:$A$21</c:f>
              <c:strCache>
                <c:ptCount val="9"/>
                <c:pt idx="0">
                  <c:v>Makanan &amp; Minuman</c:v>
                </c:pt>
                <c:pt idx="1">
                  <c:v>Tempat Tinggal (Kos/Sewa)</c:v>
                </c:pt>
                <c:pt idx="2">
                  <c:v>Tagihan (Listrik/Air/Internet/Pulsa)</c:v>
                </c:pt>
                <c:pt idx="3">
                  <c:v>Transportasi</c:v>
                </c:pt>
                <c:pt idx="4">
                  <c:v>Pendidikan/Kursus</c:v>
                </c:pt>
                <c:pt idx="5">
                  <c:v>Kesehatan</c:v>
                </c:pt>
                <c:pt idx="6">
                  <c:v>Hiburan &amp; Gaya Hidup</c:v>
                </c:pt>
                <c:pt idx="7">
                  <c:v>Tabungan/Investasi</c:v>
                </c:pt>
                <c:pt idx="8">
                  <c:v>Lain-lain</c:v>
                </c:pt>
              </c:strCache>
            </c:strRef>
          </c:cat>
          <c:val>
            <c:numRef>
              <c:f>'Dashboard Ringkasan'!$C$13:$C$21</c:f>
              <c:numCache>
                <c:formatCode>General</c:formatCode>
                <c:ptCount val="9"/>
                <c:pt idx="0">
                  <c:v>350000</c:v>
                </c:pt>
                <c:pt idx="1">
                  <c:v>1200000</c:v>
                </c:pt>
                <c:pt idx="2">
                  <c:v>150000</c:v>
                </c:pt>
                <c:pt idx="3">
                  <c:v>100000</c:v>
                </c:pt>
                <c:pt idx="4">
                  <c:v>0</c:v>
                </c:pt>
                <c:pt idx="5">
                  <c:v>0</c:v>
                </c:pt>
                <c:pt idx="6">
                  <c:v>75000</c:v>
                </c:pt>
                <c:pt idx="7">
                  <c:v>600000</c:v>
                </c:pt>
                <c:pt idx="8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160560</xdr:rowOff>
    </xdr:from>
    <xdr:to>
      <xdr:col>21</xdr:col>
      <xdr:colOff>78840</xdr:colOff>
      <xdr:row>22</xdr:row>
      <xdr:rowOff>119520</xdr:rowOff>
    </xdr:to>
    <xdr:graphicFrame>
      <xdr:nvGraphicFramePr>
        <xdr:cNvPr id="0" name="Chart 1"/>
        <xdr:cNvGraphicFramePr/>
      </xdr:nvGraphicFramePr>
      <xdr:xfrm>
        <a:off x="8435520" y="380880"/>
        <a:ext cx="86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22</xdr:row>
      <xdr:rowOff>160560</xdr:rowOff>
    </xdr:from>
    <xdr:to>
      <xdr:col>21</xdr:col>
      <xdr:colOff>78840</xdr:colOff>
      <xdr:row>43</xdr:row>
      <xdr:rowOff>119880</xdr:rowOff>
    </xdr:to>
    <xdr:graphicFrame>
      <xdr:nvGraphicFramePr>
        <xdr:cNvPr id="1" name="Chart 2"/>
        <xdr:cNvGraphicFramePr/>
      </xdr:nvGraphicFramePr>
      <xdr:xfrm>
        <a:off x="8435520" y="4381560"/>
        <a:ext cx="86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elAnggaran" displayName="TabelAnggaran" ref="A1:C11" headerRowCount="1" totalsRowCount="0" totalsRowShown="0">
  <autoFilter ref="A1:C11"/>
  <tableColumns count="3">
    <tableColumn id="1" name="Kategori"/>
    <tableColumn id="2" name="Target Budget (Rp)"/>
    <tableColumn id="3" name="Catatan"/>
  </tableColumns>
</table>
</file>

<file path=xl/tables/table2.xml><?xml version="1.0" encoding="utf-8"?>
<table xmlns="http://schemas.openxmlformats.org/spreadsheetml/2006/main" id="2" name="TabelTransaksi" displayName="TabelTransaksi" ref="A1:E101" headerRowCount="1" totalsRowCount="0" totalsRowShown="0">
  <autoFilter ref="A1:E101"/>
  <tableColumns count="5">
    <tableColumn id="1" name="Tanggal"/>
    <tableColumn id="2" name="Kategori"/>
    <tableColumn id="3" name="Keterangan"/>
    <tableColumn id="4" name="Jenis"/>
    <tableColumn id="5" name="Jumlah (Rp)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28.35" hidden="false" customHeight="false" outlineLevel="0" collapsed="false">
      <c r="A4" s="2" t="s">
        <v>2</v>
      </c>
    </row>
    <row r="5" customFormat="false" ht="28.35" hidden="false" customHeight="false" outlineLevel="0" collapsed="false">
      <c r="A5" s="2" t="s">
        <v>3</v>
      </c>
    </row>
    <row r="6" customFormat="false" ht="28.3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23.85" hidden="false" customHeight="false" outlineLevel="0" collapsed="false">
      <c r="A14" s="4" t="s">
        <v>10</v>
      </c>
    </row>
  </sheetData>
  <sheetProtection sheet="tru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  <col collapsed="false" customWidth="true" hidden="false" outlineLevel="0" max="3" min="3" style="0" width="45"/>
  </cols>
  <sheetData>
    <row r="1" customFormat="false" ht="26.85" hidden="false" customHeight="false" outlineLevel="0" collapsed="false">
      <c r="A1" s="5" t="s">
        <v>11</v>
      </c>
      <c r="B1" s="5" t="s">
        <v>12</v>
      </c>
      <c r="C1" s="5" t="s">
        <v>13</v>
      </c>
    </row>
    <row r="2" customFormat="false" ht="15" hidden="false" customHeight="false" outlineLevel="0" collapsed="false">
      <c r="A2" s="6" t="s">
        <v>14</v>
      </c>
      <c r="B2" s="7" t="s">
        <v>15</v>
      </c>
      <c r="C2" s="8" t="s">
        <v>16</v>
      </c>
    </row>
    <row r="3" customFormat="false" ht="15" hidden="false" customHeight="false" outlineLevel="0" collapsed="false">
      <c r="A3" s="6" t="s">
        <v>17</v>
      </c>
      <c r="B3" s="9" t="n">
        <v>1500000</v>
      </c>
      <c r="C3" s="8"/>
    </row>
    <row r="4" customFormat="false" ht="15" hidden="false" customHeight="false" outlineLevel="0" collapsed="false">
      <c r="A4" s="6" t="s">
        <v>18</v>
      </c>
      <c r="B4" s="9" t="n">
        <v>1200000</v>
      </c>
      <c r="C4" s="8"/>
    </row>
    <row r="5" customFormat="false" ht="15" hidden="false" customHeight="false" outlineLevel="0" collapsed="false">
      <c r="A5" s="6" t="s">
        <v>19</v>
      </c>
      <c r="B5" s="9" t="n">
        <v>400000</v>
      </c>
      <c r="C5" s="8"/>
    </row>
    <row r="6" customFormat="false" ht="15" hidden="false" customHeight="false" outlineLevel="0" collapsed="false">
      <c r="A6" s="6" t="s">
        <v>20</v>
      </c>
      <c r="B6" s="9" t="n">
        <v>500000</v>
      </c>
      <c r="C6" s="8"/>
    </row>
    <row r="7" customFormat="false" ht="15" hidden="false" customHeight="false" outlineLevel="0" collapsed="false">
      <c r="A7" s="6" t="s">
        <v>21</v>
      </c>
      <c r="B7" s="9" t="n">
        <v>300000</v>
      </c>
      <c r="C7" s="8"/>
    </row>
    <row r="8" customFormat="false" ht="15" hidden="false" customHeight="false" outlineLevel="0" collapsed="false">
      <c r="A8" s="6" t="s">
        <v>22</v>
      </c>
      <c r="B8" s="9" t="n">
        <v>200000</v>
      </c>
      <c r="C8" s="8"/>
    </row>
    <row r="9" customFormat="false" ht="15" hidden="false" customHeight="false" outlineLevel="0" collapsed="false">
      <c r="A9" s="6" t="s">
        <v>23</v>
      </c>
      <c r="B9" s="9" t="n">
        <v>300000</v>
      </c>
      <c r="C9" s="8"/>
    </row>
    <row r="10" customFormat="false" ht="23.85" hidden="false" customHeight="false" outlineLevel="0" collapsed="false">
      <c r="A10" s="6" t="s">
        <v>24</v>
      </c>
      <c r="B10" s="9" t="n">
        <v>600000</v>
      </c>
      <c r="C10" s="8" t="s">
        <v>25</v>
      </c>
    </row>
    <row r="11" customFormat="false" ht="15" hidden="false" customHeight="false" outlineLevel="0" collapsed="false">
      <c r="A11" s="6" t="s">
        <v>26</v>
      </c>
      <c r="B11" s="9" t="n">
        <v>200000</v>
      </c>
      <c r="C11" s="8"/>
    </row>
    <row r="12" customFormat="false" ht="15" hidden="false" customHeight="false" outlineLevel="0" collapsed="false">
      <c r="A12" s="10" t="s">
        <v>27</v>
      </c>
      <c r="B12" s="11" t="n">
        <f aca="false">SUM(B3:B11)</f>
        <v>5200000</v>
      </c>
    </row>
  </sheetData>
  <sheetProtection sheet="tru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40"/>
    <col collapsed="false" customWidth="true" hidden="false" outlineLevel="0" max="5" min="4" style="0" width="16"/>
  </cols>
  <sheetData>
    <row r="1" customFormat="false" ht="15" hidden="false" customHeight="false" outlineLevel="0" collapsed="false">
      <c r="A1" s="5" t="s">
        <v>28</v>
      </c>
      <c r="B1" s="5" t="s">
        <v>11</v>
      </c>
      <c r="C1" s="5" t="s">
        <v>29</v>
      </c>
      <c r="D1" s="5" t="s">
        <v>30</v>
      </c>
      <c r="E1" s="5" t="s">
        <v>31</v>
      </c>
    </row>
    <row r="2" customFormat="false" ht="15" hidden="false" customHeight="false" outlineLevel="0" collapsed="false">
      <c r="A2" s="12" t="s">
        <v>32</v>
      </c>
      <c r="B2" s="12" t="s">
        <v>14</v>
      </c>
      <c r="C2" s="12" t="s">
        <v>33</v>
      </c>
      <c r="D2" s="12" t="s">
        <v>34</v>
      </c>
      <c r="E2" s="13" t="n">
        <v>6500000</v>
      </c>
    </row>
    <row r="3" customFormat="false" ht="15" hidden="false" customHeight="false" outlineLevel="0" collapsed="false">
      <c r="A3" s="12" t="s">
        <v>35</v>
      </c>
      <c r="B3" s="12" t="s">
        <v>18</v>
      </c>
      <c r="C3" s="12" t="s">
        <v>36</v>
      </c>
      <c r="D3" s="12" t="s">
        <v>37</v>
      </c>
      <c r="E3" s="13" t="n">
        <v>1200000</v>
      </c>
    </row>
    <row r="4" customFormat="false" ht="15" hidden="false" customHeight="false" outlineLevel="0" collapsed="false">
      <c r="A4" s="12" t="s">
        <v>38</v>
      </c>
      <c r="B4" s="12" t="s">
        <v>17</v>
      </c>
      <c r="C4" s="12" t="s">
        <v>39</v>
      </c>
      <c r="D4" s="12" t="s">
        <v>37</v>
      </c>
      <c r="E4" s="13" t="n">
        <v>350000</v>
      </c>
    </row>
    <row r="5" customFormat="false" ht="15" hidden="false" customHeight="false" outlineLevel="0" collapsed="false">
      <c r="A5" s="12" t="s">
        <v>40</v>
      </c>
      <c r="B5" s="12" t="s">
        <v>20</v>
      </c>
      <c r="C5" s="12" t="s">
        <v>41</v>
      </c>
      <c r="D5" s="12" t="s">
        <v>37</v>
      </c>
      <c r="E5" s="13" t="n">
        <v>100000</v>
      </c>
    </row>
    <row r="6" customFormat="false" ht="15" hidden="false" customHeight="false" outlineLevel="0" collapsed="false">
      <c r="A6" s="12" t="s">
        <v>42</v>
      </c>
      <c r="B6" s="12" t="s">
        <v>19</v>
      </c>
      <c r="C6" s="12" t="s">
        <v>43</v>
      </c>
      <c r="D6" s="12" t="s">
        <v>37</v>
      </c>
      <c r="E6" s="13" t="n">
        <v>150000</v>
      </c>
    </row>
    <row r="7" customFormat="false" ht="15" hidden="false" customHeight="false" outlineLevel="0" collapsed="false">
      <c r="A7" s="12" t="s">
        <v>44</v>
      </c>
      <c r="B7" s="12" t="s">
        <v>24</v>
      </c>
      <c r="C7" s="12" t="s">
        <v>45</v>
      </c>
      <c r="D7" s="12" t="s">
        <v>37</v>
      </c>
      <c r="E7" s="13" t="n">
        <v>600000</v>
      </c>
    </row>
    <row r="8" customFormat="false" ht="15" hidden="false" customHeight="false" outlineLevel="0" collapsed="false">
      <c r="A8" s="12" t="s">
        <v>46</v>
      </c>
      <c r="B8" s="12" t="s">
        <v>23</v>
      </c>
      <c r="C8" s="12" t="s">
        <v>47</v>
      </c>
      <c r="D8" s="12" t="s">
        <v>37</v>
      </c>
      <c r="E8" s="13" t="n">
        <v>75000</v>
      </c>
    </row>
    <row r="9" customFormat="false" ht="15" hidden="false" customHeight="false" outlineLevel="0" collapsed="false">
      <c r="A9" s="7"/>
      <c r="B9" s="7"/>
      <c r="C9" s="7"/>
      <c r="D9" s="7"/>
      <c r="E9" s="9"/>
    </row>
    <row r="10" customFormat="false" ht="15" hidden="false" customHeight="false" outlineLevel="0" collapsed="false">
      <c r="A10" s="7"/>
      <c r="B10" s="7"/>
      <c r="C10" s="7"/>
      <c r="D10" s="7"/>
      <c r="E10" s="9"/>
    </row>
    <row r="11" customFormat="false" ht="15" hidden="false" customHeight="false" outlineLevel="0" collapsed="false">
      <c r="A11" s="7"/>
      <c r="B11" s="7"/>
      <c r="C11" s="7"/>
      <c r="D11" s="7"/>
      <c r="E11" s="9"/>
    </row>
    <row r="12" customFormat="false" ht="15" hidden="false" customHeight="false" outlineLevel="0" collapsed="false">
      <c r="A12" s="7"/>
      <c r="B12" s="7"/>
      <c r="C12" s="7"/>
      <c r="D12" s="7"/>
      <c r="E12" s="9"/>
    </row>
    <row r="13" customFormat="false" ht="15" hidden="false" customHeight="false" outlineLevel="0" collapsed="false">
      <c r="A13" s="7"/>
      <c r="B13" s="7"/>
      <c r="C13" s="7"/>
      <c r="D13" s="7"/>
      <c r="E13" s="9"/>
    </row>
    <row r="14" customFormat="false" ht="15" hidden="false" customHeight="false" outlineLevel="0" collapsed="false">
      <c r="A14" s="7"/>
      <c r="B14" s="7"/>
      <c r="C14" s="7"/>
      <c r="D14" s="7"/>
      <c r="E14" s="9"/>
    </row>
    <row r="15" customFormat="false" ht="15" hidden="false" customHeight="false" outlineLevel="0" collapsed="false">
      <c r="A15" s="7"/>
      <c r="B15" s="7"/>
      <c r="C15" s="7"/>
      <c r="D15" s="7"/>
      <c r="E15" s="9"/>
    </row>
    <row r="16" customFormat="false" ht="15" hidden="false" customHeight="false" outlineLevel="0" collapsed="false">
      <c r="A16" s="7"/>
      <c r="B16" s="7"/>
      <c r="C16" s="7"/>
      <c r="D16" s="7"/>
      <c r="E16" s="9"/>
    </row>
    <row r="17" customFormat="false" ht="15" hidden="false" customHeight="false" outlineLevel="0" collapsed="false">
      <c r="A17" s="7"/>
      <c r="B17" s="7"/>
      <c r="C17" s="7"/>
      <c r="D17" s="7"/>
      <c r="E17" s="9"/>
    </row>
    <row r="18" customFormat="false" ht="15" hidden="false" customHeight="false" outlineLevel="0" collapsed="false">
      <c r="A18" s="7"/>
      <c r="B18" s="7"/>
      <c r="C18" s="7"/>
      <c r="D18" s="7"/>
      <c r="E18" s="9"/>
    </row>
    <row r="19" customFormat="false" ht="15" hidden="false" customHeight="false" outlineLevel="0" collapsed="false">
      <c r="A19" s="7"/>
      <c r="B19" s="7"/>
      <c r="C19" s="7"/>
      <c r="D19" s="7"/>
      <c r="E19" s="9"/>
    </row>
    <row r="20" customFormat="false" ht="15" hidden="false" customHeight="false" outlineLevel="0" collapsed="false">
      <c r="A20" s="7"/>
      <c r="B20" s="7"/>
      <c r="C20" s="7"/>
      <c r="D20" s="7"/>
      <c r="E20" s="9"/>
    </row>
    <row r="21" customFormat="false" ht="15" hidden="false" customHeight="false" outlineLevel="0" collapsed="false">
      <c r="A21" s="7"/>
      <c r="B21" s="7"/>
      <c r="C21" s="7"/>
      <c r="D21" s="7"/>
      <c r="E21" s="9"/>
    </row>
    <row r="22" customFormat="false" ht="15" hidden="false" customHeight="false" outlineLevel="0" collapsed="false">
      <c r="A22" s="7"/>
      <c r="B22" s="7"/>
      <c r="C22" s="7"/>
      <c r="D22" s="7"/>
      <c r="E22" s="9"/>
    </row>
    <row r="23" customFormat="false" ht="15" hidden="false" customHeight="false" outlineLevel="0" collapsed="false">
      <c r="A23" s="7"/>
      <c r="B23" s="7"/>
      <c r="C23" s="7"/>
      <c r="D23" s="7"/>
      <c r="E23" s="9"/>
    </row>
    <row r="24" customFormat="false" ht="15" hidden="false" customHeight="false" outlineLevel="0" collapsed="false">
      <c r="A24" s="7"/>
      <c r="B24" s="7"/>
      <c r="C24" s="7"/>
      <c r="D24" s="7"/>
      <c r="E24" s="9"/>
    </row>
    <row r="25" customFormat="false" ht="15" hidden="false" customHeight="false" outlineLevel="0" collapsed="false">
      <c r="A25" s="7"/>
      <c r="B25" s="7"/>
      <c r="C25" s="7"/>
      <c r="D25" s="7"/>
      <c r="E25" s="9"/>
    </row>
    <row r="26" customFormat="false" ht="15" hidden="false" customHeight="false" outlineLevel="0" collapsed="false">
      <c r="A26" s="7"/>
      <c r="B26" s="7"/>
      <c r="C26" s="7"/>
      <c r="D26" s="7"/>
      <c r="E26" s="9"/>
    </row>
    <row r="27" customFormat="false" ht="15" hidden="false" customHeight="false" outlineLevel="0" collapsed="false">
      <c r="A27" s="7"/>
      <c r="B27" s="7"/>
      <c r="C27" s="7"/>
      <c r="D27" s="7"/>
      <c r="E27" s="9"/>
    </row>
    <row r="28" customFormat="false" ht="15" hidden="false" customHeight="false" outlineLevel="0" collapsed="false">
      <c r="A28" s="7"/>
      <c r="B28" s="7"/>
      <c r="C28" s="7"/>
      <c r="D28" s="7"/>
      <c r="E28" s="9"/>
    </row>
    <row r="29" customFormat="false" ht="15" hidden="false" customHeight="false" outlineLevel="0" collapsed="false">
      <c r="A29" s="7"/>
      <c r="B29" s="7"/>
      <c r="C29" s="7"/>
      <c r="D29" s="7"/>
      <c r="E29" s="9"/>
    </row>
    <row r="30" customFormat="false" ht="15" hidden="false" customHeight="false" outlineLevel="0" collapsed="false">
      <c r="A30" s="7"/>
      <c r="B30" s="7"/>
      <c r="C30" s="7"/>
      <c r="D30" s="7"/>
      <c r="E30" s="9"/>
    </row>
    <row r="31" customFormat="false" ht="15" hidden="false" customHeight="false" outlineLevel="0" collapsed="false">
      <c r="A31" s="7"/>
      <c r="B31" s="7"/>
      <c r="C31" s="7"/>
      <c r="D31" s="7"/>
      <c r="E31" s="9"/>
    </row>
    <row r="32" customFormat="false" ht="15" hidden="false" customHeight="false" outlineLevel="0" collapsed="false">
      <c r="A32" s="7"/>
      <c r="B32" s="7"/>
      <c r="C32" s="7"/>
      <c r="D32" s="7"/>
      <c r="E32" s="9"/>
    </row>
    <row r="33" customFormat="false" ht="15" hidden="false" customHeight="false" outlineLevel="0" collapsed="false">
      <c r="A33" s="7"/>
      <c r="B33" s="7"/>
      <c r="C33" s="7"/>
      <c r="D33" s="7"/>
      <c r="E33" s="9"/>
    </row>
    <row r="34" customFormat="false" ht="15" hidden="false" customHeight="false" outlineLevel="0" collapsed="false">
      <c r="A34" s="7"/>
      <c r="B34" s="7"/>
      <c r="C34" s="7"/>
      <c r="D34" s="7"/>
      <c r="E34" s="9"/>
    </row>
    <row r="35" customFormat="false" ht="15" hidden="false" customHeight="false" outlineLevel="0" collapsed="false">
      <c r="A35" s="7"/>
      <c r="B35" s="7"/>
      <c r="C35" s="7"/>
      <c r="D35" s="7"/>
      <c r="E35" s="9"/>
    </row>
    <row r="36" customFormat="false" ht="15" hidden="false" customHeight="false" outlineLevel="0" collapsed="false">
      <c r="A36" s="7"/>
      <c r="B36" s="7"/>
      <c r="C36" s="7"/>
      <c r="D36" s="7"/>
      <c r="E36" s="9"/>
    </row>
    <row r="37" customFormat="false" ht="15" hidden="false" customHeight="false" outlineLevel="0" collapsed="false">
      <c r="A37" s="7"/>
      <c r="B37" s="7"/>
      <c r="C37" s="7"/>
      <c r="D37" s="7"/>
      <c r="E37" s="9"/>
    </row>
    <row r="38" customFormat="false" ht="15" hidden="false" customHeight="false" outlineLevel="0" collapsed="false">
      <c r="A38" s="7"/>
      <c r="B38" s="7"/>
      <c r="C38" s="7"/>
      <c r="D38" s="7"/>
      <c r="E38" s="9"/>
    </row>
    <row r="39" customFormat="false" ht="15" hidden="false" customHeight="false" outlineLevel="0" collapsed="false">
      <c r="A39" s="7"/>
      <c r="B39" s="7"/>
      <c r="C39" s="7"/>
      <c r="D39" s="7"/>
      <c r="E39" s="9"/>
    </row>
    <row r="40" customFormat="false" ht="15" hidden="false" customHeight="false" outlineLevel="0" collapsed="false">
      <c r="A40" s="7"/>
      <c r="B40" s="7"/>
      <c r="C40" s="7"/>
      <c r="D40" s="7"/>
      <c r="E40" s="9"/>
    </row>
    <row r="41" customFormat="false" ht="15" hidden="false" customHeight="false" outlineLevel="0" collapsed="false">
      <c r="A41" s="7"/>
      <c r="B41" s="7"/>
      <c r="C41" s="7"/>
      <c r="D41" s="7"/>
      <c r="E41" s="9"/>
    </row>
    <row r="42" customFormat="false" ht="15" hidden="false" customHeight="false" outlineLevel="0" collapsed="false">
      <c r="A42" s="7"/>
      <c r="B42" s="7"/>
      <c r="C42" s="7"/>
      <c r="D42" s="7"/>
      <c r="E42" s="9"/>
    </row>
    <row r="43" customFormat="false" ht="15" hidden="false" customHeight="false" outlineLevel="0" collapsed="false">
      <c r="A43" s="7"/>
      <c r="B43" s="7"/>
      <c r="C43" s="7"/>
      <c r="D43" s="7"/>
      <c r="E43" s="9"/>
    </row>
    <row r="44" customFormat="false" ht="15" hidden="false" customHeight="false" outlineLevel="0" collapsed="false">
      <c r="A44" s="7"/>
      <c r="B44" s="7"/>
      <c r="C44" s="7"/>
      <c r="D44" s="7"/>
      <c r="E44" s="9"/>
    </row>
    <row r="45" customFormat="false" ht="15" hidden="false" customHeight="false" outlineLevel="0" collapsed="false">
      <c r="A45" s="7"/>
      <c r="B45" s="7"/>
      <c r="C45" s="7"/>
      <c r="D45" s="7"/>
      <c r="E45" s="9"/>
    </row>
    <row r="46" customFormat="false" ht="15" hidden="false" customHeight="false" outlineLevel="0" collapsed="false">
      <c r="A46" s="7"/>
      <c r="B46" s="7"/>
      <c r="C46" s="7"/>
      <c r="D46" s="7"/>
      <c r="E46" s="9"/>
    </row>
    <row r="47" customFormat="false" ht="15" hidden="false" customHeight="false" outlineLevel="0" collapsed="false">
      <c r="A47" s="7"/>
      <c r="B47" s="7"/>
      <c r="C47" s="7"/>
      <c r="D47" s="7"/>
      <c r="E47" s="9"/>
    </row>
    <row r="48" customFormat="false" ht="15" hidden="false" customHeight="false" outlineLevel="0" collapsed="false">
      <c r="A48" s="7"/>
      <c r="B48" s="7"/>
      <c r="C48" s="7"/>
      <c r="D48" s="7"/>
      <c r="E48" s="9"/>
    </row>
    <row r="49" customFormat="false" ht="15" hidden="false" customHeight="false" outlineLevel="0" collapsed="false">
      <c r="A49" s="7"/>
      <c r="B49" s="7"/>
      <c r="C49" s="7"/>
      <c r="D49" s="7"/>
      <c r="E49" s="9"/>
    </row>
    <row r="50" customFormat="false" ht="15" hidden="false" customHeight="false" outlineLevel="0" collapsed="false">
      <c r="A50" s="7"/>
      <c r="B50" s="7"/>
      <c r="C50" s="7"/>
      <c r="D50" s="7"/>
      <c r="E50" s="9"/>
    </row>
    <row r="51" customFormat="false" ht="15" hidden="false" customHeight="false" outlineLevel="0" collapsed="false">
      <c r="A51" s="7"/>
      <c r="B51" s="7"/>
      <c r="C51" s="7"/>
      <c r="D51" s="7"/>
      <c r="E51" s="9"/>
    </row>
    <row r="52" customFormat="false" ht="15" hidden="false" customHeight="false" outlineLevel="0" collapsed="false">
      <c r="A52" s="7"/>
      <c r="B52" s="7"/>
      <c r="C52" s="7"/>
      <c r="D52" s="7"/>
      <c r="E52" s="9"/>
    </row>
    <row r="53" customFormat="false" ht="15" hidden="false" customHeight="false" outlineLevel="0" collapsed="false">
      <c r="A53" s="7"/>
      <c r="B53" s="7"/>
      <c r="C53" s="7"/>
      <c r="D53" s="7"/>
      <c r="E53" s="9"/>
    </row>
    <row r="54" customFormat="false" ht="15" hidden="false" customHeight="false" outlineLevel="0" collapsed="false">
      <c r="A54" s="7"/>
      <c r="B54" s="7"/>
      <c r="C54" s="7"/>
      <c r="D54" s="7"/>
      <c r="E54" s="9"/>
    </row>
    <row r="55" customFormat="false" ht="15" hidden="false" customHeight="false" outlineLevel="0" collapsed="false">
      <c r="A55" s="7"/>
      <c r="B55" s="7"/>
      <c r="C55" s="7"/>
      <c r="D55" s="7"/>
      <c r="E55" s="9"/>
    </row>
    <row r="56" customFormat="false" ht="15" hidden="false" customHeight="false" outlineLevel="0" collapsed="false">
      <c r="A56" s="7"/>
      <c r="B56" s="7"/>
      <c r="C56" s="7"/>
      <c r="D56" s="7"/>
      <c r="E56" s="9"/>
    </row>
    <row r="57" customFormat="false" ht="15" hidden="false" customHeight="false" outlineLevel="0" collapsed="false">
      <c r="A57" s="7"/>
      <c r="B57" s="7"/>
      <c r="C57" s="7"/>
      <c r="D57" s="7"/>
      <c r="E57" s="9"/>
    </row>
    <row r="58" customFormat="false" ht="15" hidden="false" customHeight="false" outlineLevel="0" collapsed="false">
      <c r="A58" s="7"/>
      <c r="B58" s="7"/>
      <c r="C58" s="7"/>
      <c r="D58" s="7"/>
      <c r="E58" s="9"/>
    </row>
    <row r="59" customFormat="false" ht="15" hidden="false" customHeight="false" outlineLevel="0" collapsed="false">
      <c r="A59" s="7"/>
      <c r="B59" s="7"/>
      <c r="C59" s="7"/>
      <c r="D59" s="7"/>
      <c r="E59" s="9"/>
    </row>
    <row r="60" customFormat="false" ht="15" hidden="false" customHeight="false" outlineLevel="0" collapsed="false">
      <c r="A60" s="7"/>
      <c r="B60" s="7"/>
      <c r="C60" s="7"/>
      <c r="D60" s="7"/>
      <c r="E60" s="9"/>
    </row>
    <row r="61" customFormat="false" ht="15" hidden="false" customHeight="false" outlineLevel="0" collapsed="false">
      <c r="A61" s="7"/>
      <c r="B61" s="7"/>
      <c r="C61" s="7"/>
      <c r="D61" s="7"/>
      <c r="E61" s="9"/>
    </row>
    <row r="62" customFormat="false" ht="15" hidden="false" customHeight="false" outlineLevel="0" collapsed="false">
      <c r="A62" s="7"/>
      <c r="B62" s="7"/>
      <c r="C62" s="7"/>
      <c r="D62" s="7"/>
      <c r="E62" s="9"/>
    </row>
    <row r="63" customFormat="false" ht="15" hidden="false" customHeight="false" outlineLevel="0" collapsed="false">
      <c r="A63" s="7"/>
      <c r="B63" s="7"/>
      <c r="C63" s="7"/>
      <c r="D63" s="7"/>
      <c r="E63" s="9"/>
    </row>
    <row r="64" customFormat="false" ht="15" hidden="false" customHeight="false" outlineLevel="0" collapsed="false">
      <c r="A64" s="7"/>
      <c r="B64" s="7"/>
      <c r="C64" s="7"/>
      <c r="D64" s="7"/>
      <c r="E64" s="9"/>
    </row>
    <row r="65" customFormat="false" ht="15" hidden="false" customHeight="false" outlineLevel="0" collapsed="false">
      <c r="A65" s="7"/>
      <c r="B65" s="7"/>
      <c r="C65" s="7"/>
      <c r="D65" s="7"/>
      <c r="E65" s="9"/>
    </row>
    <row r="66" customFormat="false" ht="15" hidden="false" customHeight="false" outlineLevel="0" collapsed="false">
      <c r="A66" s="7"/>
      <c r="B66" s="7"/>
      <c r="C66" s="7"/>
      <c r="D66" s="7"/>
      <c r="E66" s="9"/>
    </row>
    <row r="67" customFormat="false" ht="15" hidden="false" customHeight="false" outlineLevel="0" collapsed="false">
      <c r="A67" s="7"/>
      <c r="B67" s="7"/>
      <c r="C67" s="7"/>
      <c r="D67" s="7"/>
      <c r="E67" s="9"/>
    </row>
    <row r="68" customFormat="false" ht="15" hidden="false" customHeight="false" outlineLevel="0" collapsed="false">
      <c r="A68" s="7"/>
      <c r="B68" s="7"/>
      <c r="C68" s="7"/>
      <c r="D68" s="7"/>
      <c r="E68" s="9"/>
    </row>
    <row r="69" customFormat="false" ht="15" hidden="false" customHeight="false" outlineLevel="0" collapsed="false">
      <c r="A69" s="7"/>
      <c r="B69" s="7"/>
      <c r="C69" s="7"/>
      <c r="D69" s="7"/>
      <c r="E69" s="9"/>
    </row>
    <row r="70" customFormat="false" ht="15" hidden="false" customHeight="false" outlineLevel="0" collapsed="false">
      <c r="A70" s="7"/>
      <c r="B70" s="7"/>
      <c r="C70" s="7"/>
      <c r="D70" s="7"/>
      <c r="E70" s="9"/>
    </row>
    <row r="71" customFormat="false" ht="15" hidden="false" customHeight="false" outlineLevel="0" collapsed="false">
      <c r="A71" s="7"/>
      <c r="B71" s="7"/>
      <c r="C71" s="7"/>
      <c r="D71" s="7"/>
      <c r="E71" s="9"/>
    </row>
    <row r="72" customFormat="false" ht="15" hidden="false" customHeight="false" outlineLevel="0" collapsed="false">
      <c r="A72" s="7"/>
      <c r="B72" s="7"/>
      <c r="C72" s="7"/>
      <c r="D72" s="7"/>
      <c r="E72" s="9"/>
    </row>
    <row r="73" customFormat="false" ht="15" hidden="false" customHeight="false" outlineLevel="0" collapsed="false">
      <c r="A73" s="7"/>
      <c r="B73" s="7"/>
      <c r="C73" s="7"/>
      <c r="D73" s="7"/>
      <c r="E73" s="9"/>
    </row>
    <row r="74" customFormat="false" ht="15" hidden="false" customHeight="false" outlineLevel="0" collapsed="false">
      <c r="A74" s="7"/>
      <c r="B74" s="7"/>
      <c r="C74" s="7"/>
      <c r="D74" s="7"/>
      <c r="E74" s="9"/>
    </row>
    <row r="75" customFormat="false" ht="15" hidden="false" customHeight="false" outlineLevel="0" collapsed="false">
      <c r="A75" s="7"/>
      <c r="B75" s="7"/>
      <c r="C75" s="7"/>
      <c r="D75" s="7"/>
      <c r="E75" s="9"/>
    </row>
    <row r="76" customFormat="false" ht="15" hidden="false" customHeight="false" outlineLevel="0" collapsed="false">
      <c r="A76" s="7"/>
      <c r="B76" s="7"/>
      <c r="C76" s="7"/>
      <c r="D76" s="7"/>
      <c r="E76" s="9"/>
    </row>
    <row r="77" customFormat="false" ht="15" hidden="false" customHeight="false" outlineLevel="0" collapsed="false">
      <c r="A77" s="7"/>
      <c r="B77" s="7"/>
      <c r="C77" s="7"/>
      <c r="D77" s="7"/>
      <c r="E77" s="9"/>
    </row>
    <row r="78" customFormat="false" ht="15" hidden="false" customHeight="false" outlineLevel="0" collapsed="false">
      <c r="A78" s="7"/>
      <c r="B78" s="7"/>
      <c r="C78" s="7"/>
      <c r="D78" s="7"/>
      <c r="E78" s="9"/>
    </row>
    <row r="79" customFormat="false" ht="15" hidden="false" customHeight="false" outlineLevel="0" collapsed="false">
      <c r="A79" s="7"/>
      <c r="B79" s="7"/>
      <c r="C79" s="7"/>
      <c r="D79" s="7"/>
      <c r="E79" s="9"/>
    </row>
    <row r="80" customFormat="false" ht="15" hidden="false" customHeight="false" outlineLevel="0" collapsed="false">
      <c r="A80" s="7"/>
      <c r="B80" s="7"/>
      <c r="C80" s="7"/>
      <c r="D80" s="7"/>
      <c r="E80" s="9"/>
    </row>
    <row r="81" customFormat="false" ht="15" hidden="false" customHeight="false" outlineLevel="0" collapsed="false">
      <c r="A81" s="7"/>
      <c r="B81" s="7"/>
      <c r="C81" s="7"/>
      <c r="D81" s="7"/>
      <c r="E81" s="9"/>
    </row>
    <row r="82" customFormat="false" ht="15" hidden="false" customHeight="false" outlineLevel="0" collapsed="false">
      <c r="A82" s="7"/>
      <c r="B82" s="7"/>
      <c r="C82" s="7"/>
      <c r="D82" s="7"/>
      <c r="E82" s="9"/>
    </row>
    <row r="83" customFormat="false" ht="15" hidden="false" customHeight="false" outlineLevel="0" collapsed="false">
      <c r="A83" s="7"/>
      <c r="B83" s="7"/>
      <c r="C83" s="7"/>
      <c r="D83" s="7"/>
      <c r="E83" s="9"/>
    </row>
    <row r="84" customFormat="false" ht="15" hidden="false" customHeight="false" outlineLevel="0" collapsed="false">
      <c r="A84" s="7"/>
      <c r="B84" s="7"/>
      <c r="C84" s="7"/>
      <c r="D84" s="7"/>
      <c r="E84" s="9"/>
    </row>
    <row r="85" customFormat="false" ht="15" hidden="false" customHeight="false" outlineLevel="0" collapsed="false">
      <c r="A85" s="7"/>
      <c r="B85" s="7"/>
      <c r="C85" s="7"/>
      <c r="D85" s="7"/>
      <c r="E85" s="9"/>
    </row>
    <row r="86" customFormat="false" ht="15" hidden="false" customHeight="false" outlineLevel="0" collapsed="false">
      <c r="A86" s="7"/>
      <c r="B86" s="7"/>
      <c r="C86" s="7"/>
      <c r="D86" s="7"/>
      <c r="E86" s="9"/>
    </row>
    <row r="87" customFormat="false" ht="15" hidden="false" customHeight="false" outlineLevel="0" collapsed="false">
      <c r="A87" s="7"/>
      <c r="B87" s="7"/>
      <c r="C87" s="7"/>
      <c r="D87" s="7"/>
      <c r="E87" s="9"/>
    </row>
    <row r="88" customFormat="false" ht="15" hidden="false" customHeight="false" outlineLevel="0" collapsed="false">
      <c r="A88" s="7"/>
      <c r="B88" s="7"/>
      <c r="C88" s="7"/>
      <c r="D88" s="7"/>
      <c r="E88" s="9"/>
    </row>
    <row r="89" customFormat="false" ht="15" hidden="false" customHeight="false" outlineLevel="0" collapsed="false">
      <c r="A89" s="7"/>
      <c r="B89" s="7"/>
      <c r="C89" s="7"/>
      <c r="D89" s="7"/>
      <c r="E89" s="9"/>
    </row>
    <row r="90" customFormat="false" ht="15" hidden="false" customHeight="false" outlineLevel="0" collapsed="false">
      <c r="A90" s="7"/>
      <c r="B90" s="7"/>
      <c r="C90" s="7"/>
      <c r="D90" s="7"/>
      <c r="E90" s="9"/>
    </row>
    <row r="91" customFormat="false" ht="15" hidden="false" customHeight="false" outlineLevel="0" collapsed="false">
      <c r="A91" s="7"/>
      <c r="B91" s="7"/>
      <c r="C91" s="7"/>
      <c r="D91" s="7"/>
      <c r="E91" s="9"/>
    </row>
    <row r="92" customFormat="false" ht="15" hidden="false" customHeight="false" outlineLevel="0" collapsed="false">
      <c r="A92" s="7"/>
      <c r="B92" s="7"/>
      <c r="C92" s="7"/>
      <c r="D92" s="7"/>
      <c r="E92" s="9"/>
    </row>
    <row r="93" customFormat="false" ht="15" hidden="false" customHeight="false" outlineLevel="0" collapsed="false">
      <c r="A93" s="7"/>
      <c r="B93" s="7"/>
      <c r="C93" s="7"/>
      <c r="D93" s="7"/>
      <c r="E93" s="9"/>
    </row>
    <row r="94" customFormat="false" ht="15" hidden="false" customHeight="false" outlineLevel="0" collapsed="false">
      <c r="A94" s="7"/>
      <c r="B94" s="7"/>
      <c r="C94" s="7"/>
      <c r="D94" s="7"/>
      <c r="E94" s="9"/>
    </row>
    <row r="95" customFormat="false" ht="15" hidden="false" customHeight="false" outlineLevel="0" collapsed="false">
      <c r="A95" s="7"/>
      <c r="B95" s="7"/>
      <c r="C95" s="7"/>
      <c r="D95" s="7"/>
      <c r="E95" s="9"/>
    </row>
    <row r="96" customFormat="false" ht="15" hidden="false" customHeight="false" outlineLevel="0" collapsed="false">
      <c r="A96" s="7"/>
      <c r="B96" s="7"/>
      <c r="C96" s="7"/>
      <c r="D96" s="7"/>
      <c r="E96" s="9"/>
    </row>
    <row r="97" customFormat="false" ht="15" hidden="false" customHeight="false" outlineLevel="0" collapsed="false">
      <c r="A97" s="7"/>
      <c r="B97" s="7"/>
      <c r="C97" s="7"/>
      <c r="D97" s="7"/>
      <c r="E97" s="9"/>
    </row>
    <row r="98" customFormat="false" ht="15" hidden="false" customHeight="false" outlineLevel="0" collapsed="false">
      <c r="A98" s="7"/>
      <c r="B98" s="7"/>
      <c r="C98" s="7"/>
      <c r="D98" s="7"/>
      <c r="E98" s="9"/>
    </row>
    <row r="99" customFormat="false" ht="15" hidden="false" customHeight="false" outlineLevel="0" collapsed="false">
      <c r="A99" s="7"/>
      <c r="B99" s="7"/>
      <c r="C99" s="7"/>
      <c r="D99" s="7"/>
      <c r="E99" s="9"/>
    </row>
    <row r="100" customFormat="false" ht="15" hidden="false" customHeight="false" outlineLevel="0" collapsed="false">
      <c r="A100" s="7"/>
      <c r="B100" s="7"/>
      <c r="C100" s="7"/>
      <c r="D100" s="7"/>
      <c r="E100" s="9"/>
    </row>
    <row r="101" customFormat="false" ht="15" hidden="false" customHeight="false" outlineLevel="0" collapsed="false">
      <c r="A101" s="7"/>
      <c r="B101" s="7"/>
      <c r="C101" s="7"/>
      <c r="D101" s="7"/>
      <c r="E101" s="9"/>
    </row>
  </sheetData>
  <sheetProtection sheet="true"/>
  <conditionalFormatting sqref="D2:D101">
    <cfRule type="expression" priority="2" aboveAverage="0" equalAverage="0" bottom="0" percent="0" rank="0" text="" dxfId="9">
      <formula>$D2="Pemasukan"</formula>
    </cfRule>
    <cfRule type="expression" priority="3" aboveAverage="0" equalAverage="0" bottom="0" percent="0" rank="0" text="" dxfId="10">
      <formula>$D2="Pengeluaran"</formula>
    </cfRule>
  </conditionalFormatting>
  <dataValidations count="2">
    <dataValidation allowBlank="true" error="Pilih kategori dari daftar dropdown." errorStyle="stop" errorTitle="Kategori tidak valid" operator="between" showDropDown="false" showErrorMessage="false" showInputMessage="false" sqref="B2:B101" type="list">
      <formula1>'Anggaran Bulanan'!$A$2:$A$11</formula1>
      <formula2>0</formula2>
    </dataValidation>
    <dataValidation allowBlank="true" error="Pilih Pemasukan atau Pengeluaran." errorStyle="stop" errorTitle="Jenis tidak valid" operator="between" showDropDown="false" showErrorMessage="false" showInputMessage="false" sqref="D2:D101" type="list">
      <formula1>"Pemasukan,Pengeluaran"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6"/>
    <col collapsed="false" customWidth="true" hidden="false" outlineLevel="0" max="5" min="5" style="0" width="13"/>
    <col collapsed="false" customWidth="true" hidden="false" outlineLevel="0" max="6" min="6" style="0" width="20"/>
  </cols>
  <sheetData>
    <row r="1" customFormat="false" ht="17.35" hidden="false" customHeight="false" outlineLevel="0" collapsed="false">
      <c r="A1" s="1" t="s">
        <v>48</v>
      </c>
    </row>
    <row r="3" customFormat="false" ht="15" hidden="false" customHeight="false" outlineLevel="0" collapsed="false">
      <c r="A3" s="10" t="s">
        <v>49</v>
      </c>
      <c r="B3" s="14" t="s">
        <v>50</v>
      </c>
    </row>
    <row r="5" customFormat="false" ht="15" hidden="false" customHeight="false" outlineLevel="0" collapsed="false">
      <c r="A5" s="15" t="s">
        <v>51</v>
      </c>
    </row>
    <row r="6" customFormat="false" ht="15" hidden="false" customHeight="false" outlineLevel="0" collapsed="false">
      <c r="A6" s="0" t="s">
        <v>52</v>
      </c>
      <c r="B6" s="16" t="n">
        <f aca="false">SUMIFS('Catatan Transaksi'!$E$2:$E$101,'Catatan Transaksi'!$D$2:$D$101,"Pemasukan")</f>
        <v>6500000</v>
      </c>
    </row>
    <row r="7" customFormat="false" ht="15" hidden="false" customHeight="false" outlineLevel="0" collapsed="false">
      <c r="A7" s="0" t="s">
        <v>53</v>
      </c>
      <c r="B7" s="16" t="n">
        <f aca="false">SUMIFS('Catatan Transaksi'!$E$2:$E$101,'Catatan Transaksi'!$D$2:$D$101,"Pengeluaran")</f>
        <v>2475000</v>
      </c>
    </row>
    <row r="8" customFormat="false" ht="15" hidden="false" customHeight="false" outlineLevel="0" collapsed="false">
      <c r="A8" s="0" t="s">
        <v>54</v>
      </c>
      <c r="B8" s="16" t="n">
        <f aca="false">B6-B7</f>
        <v>4025000</v>
      </c>
    </row>
    <row r="9" customFormat="false" ht="15" hidden="false" customHeight="false" outlineLevel="0" collapsed="false">
      <c r="A9" s="0" t="s">
        <v>55</v>
      </c>
      <c r="B9" s="17" t="str">
        <f aca="false">IF(B8&gt;=0,"Aman","Pengeluaran Melebihi Pemasukan")</f>
        <v>Aman</v>
      </c>
    </row>
    <row r="11" customFormat="false" ht="15" hidden="false" customHeight="false" outlineLevel="0" collapsed="false">
      <c r="A11" s="15" t="s">
        <v>56</v>
      </c>
    </row>
    <row r="12" customFormat="false" ht="15" hidden="false" customHeight="false" outlineLevel="0" collapsed="false">
      <c r="A12" s="5" t="s">
        <v>11</v>
      </c>
      <c r="B12" s="5" t="s">
        <v>57</v>
      </c>
      <c r="C12" s="5" t="s">
        <v>58</v>
      </c>
      <c r="D12" s="5" t="s">
        <v>59</v>
      </c>
      <c r="E12" s="5" t="s">
        <v>60</v>
      </c>
      <c r="F12" s="5" t="s">
        <v>61</v>
      </c>
    </row>
    <row r="13" customFormat="false" ht="15" hidden="false" customHeight="false" outlineLevel="0" collapsed="false">
      <c r="A13" s="18" t="str">
        <f aca="false">'Anggaran Bulanan'!A3</f>
        <v>Makanan &amp; Minuman</v>
      </c>
      <c r="B13" s="19" t="n">
        <f aca="false">'Anggaran Bulanan'!B3</f>
        <v>1500000</v>
      </c>
      <c r="C13" s="19" t="n">
        <f aca="false">SUMIFS('Catatan Transaksi'!$E$2:$E$101,'Catatan Transaksi'!$B$2:$B$101,A13,'Catatan Transaksi'!$D$2:$D$101,"Pengeluaran")</f>
        <v>350000</v>
      </c>
      <c r="D13" s="19" t="n">
        <f aca="false">B13-C13</f>
        <v>1150000</v>
      </c>
      <c r="E13" s="20" t="n">
        <f aca="false">IF(B13=0,0,C13/B13)</f>
        <v>0.233333333333333</v>
      </c>
      <c r="F13" s="18" t="str">
        <f aca="false">IF(B13=0,"-",IF(C13&gt;B13,"Lebih dari Anggaran",IF(C13&gt;=B13*0.8,"Mendekati Batas","Aman")))</f>
        <v>Aman</v>
      </c>
    </row>
    <row r="14" customFormat="false" ht="15" hidden="false" customHeight="false" outlineLevel="0" collapsed="false">
      <c r="A14" s="18" t="str">
        <f aca="false">'Anggaran Bulanan'!A4</f>
        <v>Tempat Tinggal (Kos/Sewa)</v>
      </c>
      <c r="B14" s="19" t="n">
        <f aca="false">'Anggaran Bulanan'!B4</f>
        <v>1200000</v>
      </c>
      <c r="C14" s="19" t="n">
        <f aca="false">SUMIFS('Catatan Transaksi'!$E$2:$E$101,'Catatan Transaksi'!$B$2:$B$101,A14,'Catatan Transaksi'!$D$2:$D$101,"Pengeluaran")</f>
        <v>1200000</v>
      </c>
      <c r="D14" s="19" t="n">
        <f aca="false">B14-C14</f>
        <v>0</v>
      </c>
      <c r="E14" s="20" t="n">
        <f aca="false">IF(B14=0,0,C14/B14)</f>
        <v>1</v>
      </c>
      <c r="F14" s="18" t="str">
        <f aca="false">IF(B14=0,"-",IF(C14&gt;B14,"Lebih dari Anggaran",IF(C14&gt;=B14*0.8,"Mendekati Batas","Aman")))</f>
        <v>Mendekati Batas</v>
      </c>
    </row>
    <row r="15" customFormat="false" ht="15" hidden="false" customHeight="false" outlineLevel="0" collapsed="false">
      <c r="A15" s="18" t="str">
        <f aca="false">'Anggaran Bulanan'!A5</f>
        <v>Tagihan (Listrik/Air/Internet/Pulsa)</v>
      </c>
      <c r="B15" s="19" t="n">
        <f aca="false">'Anggaran Bulanan'!B5</f>
        <v>400000</v>
      </c>
      <c r="C15" s="19" t="n">
        <f aca="false">SUMIFS('Catatan Transaksi'!$E$2:$E$101,'Catatan Transaksi'!$B$2:$B$101,A15,'Catatan Transaksi'!$D$2:$D$101,"Pengeluaran")</f>
        <v>150000</v>
      </c>
      <c r="D15" s="19" t="n">
        <f aca="false">B15-C15</f>
        <v>250000</v>
      </c>
      <c r="E15" s="20" t="n">
        <f aca="false">IF(B15=0,0,C15/B15)</f>
        <v>0.375</v>
      </c>
      <c r="F15" s="18" t="str">
        <f aca="false">IF(B15=0,"-",IF(C15&gt;B15,"Lebih dari Anggaran",IF(C15&gt;=B15*0.8,"Mendekati Batas","Aman")))</f>
        <v>Aman</v>
      </c>
    </row>
    <row r="16" customFormat="false" ht="15" hidden="false" customHeight="false" outlineLevel="0" collapsed="false">
      <c r="A16" s="18" t="str">
        <f aca="false">'Anggaran Bulanan'!A6</f>
        <v>Transportasi</v>
      </c>
      <c r="B16" s="19" t="n">
        <f aca="false">'Anggaran Bulanan'!B6</f>
        <v>500000</v>
      </c>
      <c r="C16" s="19" t="n">
        <f aca="false">SUMIFS('Catatan Transaksi'!$E$2:$E$101,'Catatan Transaksi'!$B$2:$B$101,A16,'Catatan Transaksi'!$D$2:$D$101,"Pengeluaran")</f>
        <v>100000</v>
      </c>
      <c r="D16" s="19" t="n">
        <f aca="false">B16-C16</f>
        <v>400000</v>
      </c>
      <c r="E16" s="20" t="n">
        <f aca="false">IF(B16=0,0,C16/B16)</f>
        <v>0.2</v>
      </c>
      <c r="F16" s="18" t="str">
        <f aca="false">IF(B16=0,"-",IF(C16&gt;B16,"Lebih dari Anggaran",IF(C16&gt;=B16*0.8,"Mendekati Batas","Aman")))</f>
        <v>Aman</v>
      </c>
    </row>
    <row r="17" customFormat="false" ht="15" hidden="false" customHeight="false" outlineLevel="0" collapsed="false">
      <c r="A17" s="18" t="str">
        <f aca="false">'Anggaran Bulanan'!A7</f>
        <v>Pendidikan/Kursus</v>
      </c>
      <c r="B17" s="19" t="n">
        <f aca="false">'Anggaran Bulanan'!B7</f>
        <v>300000</v>
      </c>
      <c r="C17" s="19" t="n">
        <f aca="false">SUMIFS('Catatan Transaksi'!$E$2:$E$101,'Catatan Transaksi'!$B$2:$B$101,A17,'Catatan Transaksi'!$D$2:$D$101,"Pengeluaran")</f>
        <v>0</v>
      </c>
      <c r="D17" s="19" t="n">
        <f aca="false">B17-C17</f>
        <v>300000</v>
      </c>
      <c r="E17" s="20" t="n">
        <f aca="false">IF(B17=0,0,C17/B17)</f>
        <v>0</v>
      </c>
      <c r="F17" s="18" t="str">
        <f aca="false">IF(B17=0,"-",IF(C17&gt;B17,"Lebih dari Anggaran",IF(C17&gt;=B17*0.8,"Mendekati Batas","Aman")))</f>
        <v>Aman</v>
      </c>
    </row>
    <row r="18" customFormat="false" ht="15" hidden="false" customHeight="false" outlineLevel="0" collapsed="false">
      <c r="A18" s="18" t="str">
        <f aca="false">'Anggaran Bulanan'!A8</f>
        <v>Kesehatan</v>
      </c>
      <c r="B18" s="19" t="n">
        <f aca="false">'Anggaran Bulanan'!B8</f>
        <v>200000</v>
      </c>
      <c r="C18" s="19" t="n">
        <f aca="false">SUMIFS('Catatan Transaksi'!$E$2:$E$101,'Catatan Transaksi'!$B$2:$B$101,A18,'Catatan Transaksi'!$D$2:$D$101,"Pengeluaran")</f>
        <v>0</v>
      </c>
      <c r="D18" s="19" t="n">
        <f aca="false">B18-C18</f>
        <v>200000</v>
      </c>
      <c r="E18" s="20" t="n">
        <f aca="false">IF(B18=0,0,C18/B18)</f>
        <v>0</v>
      </c>
      <c r="F18" s="18" t="str">
        <f aca="false">IF(B18=0,"-",IF(C18&gt;B18,"Lebih dari Anggaran",IF(C18&gt;=B18*0.8,"Mendekati Batas","Aman")))</f>
        <v>Aman</v>
      </c>
    </row>
    <row r="19" customFormat="false" ht="15" hidden="false" customHeight="false" outlineLevel="0" collapsed="false">
      <c r="A19" s="18" t="str">
        <f aca="false">'Anggaran Bulanan'!A9</f>
        <v>Hiburan &amp; Gaya Hidup</v>
      </c>
      <c r="B19" s="19" t="n">
        <f aca="false">'Anggaran Bulanan'!B9</f>
        <v>300000</v>
      </c>
      <c r="C19" s="19" t="n">
        <f aca="false">SUMIFS('Catatan Transaksi'!$E$2:$E$101,'Catatan Transaksi'!$B$2:$B$101,A19,'Catatan Transaksi'!$D$2:$D$101,"Pengeluaran")</f>
        <v>75000</v>
      </c>
      <c r="D19" s="19" t="n">
        <f aca="false">B19-C19</f>
        <v>225000</v>
      </c>
      <c r="E19" s="20" t="n">
        <f aca="false">IF(B19=0,0,C19/B19)</f>
        <v>0.25</v>
      </c>
      <c r="F19" s="18" t="str">
        <f aca="false">IF(B19=0,"-",IF(C19&gt;B19,"Lebih dari Anggaran",IF(C19&gt;=B19*0.8,"Mendekati Batas","Aman")))</f>
        <v>Aman</v>
      </c>
    </row>
    <row r="20" customFormat="false" ht="15" hidden="false" customHeight="false" outlineLevel="0" collapsed="false">
      <c r="A20" s="18" t="str">
        <f aca="false">'Anggaran Bulanan'!A10</f>
        <v>Tabungan/Investasi</v>
      </c>
      <c r="B20" s="19" t="n">
        <f aca="false">'Anggaran Bulanan'!B10</f>
        <v>600000</v>
      </c>
      <c r="C20" s="19" t="n">
        <f aca="false">SUMIFS('Catatan Transaksi'!$E$2:$E$101,'Catatan Transaksi'!$B$2:$B$101,A20,'Catatan Transaksi'!$D$2:$D$101,"Pengeluaran")</f>
        <v>600000</v>
      </c>
      <c r="D20" s="19" t="n">
        <f aca="false">B20-C20</f>
        <v>0</v>
      </c>
      <c r="E20" s="20" t="n">
        <f aca="false">IF(B20=0,0,C20/B20)</f>
        <v>1</v>
      </c>
      <c r="F20" s="18" t="str">
        <f aca="false">IF(B20=0,"-",IF(C20&gt;B20,"Lebih dari Anggaran",IF(C20&gt;=B20*0.8,"Mendekati Batas","Aman")))</f>
        <v>Mendekati Batas</v>
      </c>
    </row>
    <row r="21" customFormat="false" ht="15" hidden="false" customHeight="false" outlineLevel="0" collapsed="false">
      <c r="A21" s="18" t="str">
        <f aca="false">'Anggaran Bulanan'!A11</f>
        <v>Lain-lain</v>
      </c>
      <c r="B21" s="19" t="n">
        <f aca="false">'Anggaran Bulanan'!B11</f>
        <v>200000</v>
      </c>
      <c r="C21" s="19" t="n">
        <f aca="false">SUMIFS('Catatan Transaksi'!$E$2:$E$101,'Catatan Transaksi'!$B$2:$B$101,A21,'Catatan Transaksi'!$D$2:$D$101,"Pengeluaran")</f>
        <v>0</v>
      </c>
      <c r="D21" s="19" t="n">
        <f aca="false">B21-C21</f>
        <v>200000</v>
      </c>
      <c r="E21" s="20" t="n">
        <f aca="false">IF(B21=0,0,C21/B21)</f>
        <v>0</v>
      </c>
      <c r="F21" s="18" t="str">
        <f aca="false">IF(B21=0,"-",IF(C21&gt;B21,"Lebih dari Anggaran",IF(C21&gt;=B21*0.8,"Mendekati Batas","Aman")))</f>
        <v>Aman</v>
      </c>
    </row>
    <row r="22" customFormat="false" ht="15" hidden="false" customHeight="false" outlineLevel="0" collapsed="false">
      <c r="A22" s="10" t="s">
        <v>62</v>
      </c>
      <c r="B22" s="11" t="n">
        <f aca="false">SUM(B13:B21)</f>
        <v>5200000</v>
      </c>
      <c r="C22" s="11" t="n">
        <f aca="false">SUM(C13:C21)</f>
        <v>2475000</v>
      </c>
      <c r="D22" s="11" t="n">
        <f aca="false">SUM(D13:D21)</f>
        <v>2725000</v>
      </c>
    </row>
  </sheetData>
  <sheetProtection sheet="true"/>
  <conditionalFormatting sqref="B9">
    <cfRule type="expression" priority="2" aboveAverage="0" equalAverage="0" bottom="0" percent="0" rank="0" text="" dxfId="9">
      <formula>B9="Aman"</formula>
    </cfRule>
    <cfRule type="expression" priority="3" aboveAverage="0" equalAverage="0" bottom="0" percent="0" rank="0" text="" dxfId="10">
      <formula>B9&lt;&gt;"Aman"</formula>
    </cfRule>
  </conditionalFormatting>
  <conditionalFormatting sqref="F13:F22">
    <cfRule type="expression" priority="4" aboveAverage="0" equalAverage="0" bottom="0" percent="0" rank="0" text="" dxfId="10">
      <formula>F13="Lebih dari Anggaran"</formula>
    </cfRule>
    <cfRule type="expression" priority="5" aboveAverage="0" equalAverage="0" bottom="0" percent="0" rank="0" text="" dxfId="11">
      <formula>F13="Mendekati Batas"</formula>
    </cfRule>
    <cfRule type="expression" priority="6" aboveAverage="0" equalAverage="0" bottom="0" percent="0" rank="0" text="" dxfId="9">
      <formula>F13="Aman"</formula>
    </cfRule>
  </conditionalFormatting>
  <conditionalFormatting sqref="D13:D21">
    <cfRule type="cellIs" priority="7" operator="lessThan" aboveAverage="0" equalAverage="0" bottom="0" percent="0" rank="0" text="" dxfId="1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2026-07-07T12:06:48Z</dcterms:created>
  <dc:creator>openpyxl</dc:creator>
  <dc:description/>
  <dc:language>en-US</dc:language>
  <cp:lastModifiedBy/>
  <dcterms:modified xsi:type="dcterms:W3CDTF">2026-07-07T12:06:58Z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