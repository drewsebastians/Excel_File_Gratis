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a Pakai" sheetId="1" state="visible" r:id="rId3"/>
    <sheet name="Kalender Tahunan 2026" sheetId="2" state="visible" r:id="rId4"/>
    <sheet name="Planner Bulanan" sheetId="3" state="visible" r:id="rId5"/>
    <sheet name="Planner Mingguan" sheetId="4" state="visible" r:id="rId6"/>
    <sheet name="Log Agenda &amp; Deadline" sheetId="5" state="visible" r:id="rId7"/>
    <sheet name="Ringkasa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<sst xmlns="http://schemas.openxmlformats.org/spreadsheetml/2006/main" count="216" uniqueCount="129">
  <si>
    <t xml:space="preserve">Template Kalender 2026 &amp; Planner Harian - Mingguan - Bulanan</t>
  </si>
  <si>
    <t xml:space="preserve">Cara pakai template ini (baca dulu sebelum mulai isi)</t>
  </si>
  <si>
    <t xml:space="preserve">1. Sheet "Kalender Tahunan 2026" — lihat gambaran 12 bulan sekaligus, tanggal merah (libur nasional) dan cuti bersama sudah ditandai otomatis mengacu SKB 3 Menteri 2026.</t>
  </si>
  <si>
    <t xml:space="preserve">2. Sheet "Planner Bulanan" — ganti tanggal awal bulan di kotak biru, tabel tanggal &amp; hari otomatis menyesuaikan. Isi agenda per tanggal.</t>
  </si>
  <si>
    <t xml:space="preserve">3. Sheet "Planner Mingguan" — ganti tanggal Senin di kotak biru, lalu isi rencana kegiatan per hari dalam satu minggu.</t>
  </si>
  <si>
    <t xml:space="preserve">4. Sheet "Log Agenda &amp; Deadline" — catat semua kegiatan/deadline sepanjang tahun dalam satu tabel panjang, pakai dropdown Kategori, Prioritas, dan Status.</t>
  </si>
  <si>
    <t xml:space="preserve">5. Sheet "Ringkasan" — otomatis merekap jumlah kegiatan dari sheet Log berdasarkan kategori dan status, lengkap dengan grafik.</t>
  </si>
  <si>
    <t xml:space="preserve">Catatan pemakaian:</t>
  </si>
  <si>
    <t xml:space="preserve">- Sel berwarna biru = boleh/harus diisi manual. Sel warna hitam = hasil formula, sebaiknya jangan diubah.</t>
  </si>
  <si>
    <t xml:space="preserve">- Semua dropdown bisa diklik langsung di selnya (muncul panah kecil di sisi kanan sel).</t>
  </si>
  <si>
    <t xml:space="preserve">- Warna merah di kalender tahunan = tanggal merah/libur nasional, warna kuning = cuti bersama, sesuai SKB 3 Menteri Tahun 2026 — cek kembali situs resmi pemerintah kalau ada revisi.</t>
  </si>
  <si>
    <t xml:space="preserve">- Template ini kompatibel dibuka di Microsoft Excel maupun Google Sheets (upload/import file .xlsx).</t>
  </si>
  <si>
    <t xml:space="preserve">KALENDER TAHUNAN 2026</t>
  </si>
  <si>
    <t xml:space="preserve">■ Tanggal Merah (Libur Nasional)      ■ Cuti Bersama      ■ Akhir Pekan (Sabtu/Minggu)      Mengacu SKB 3 Menteri Tahun 2026</t>
  </si>
  <si>
    <t xml:space="preserve">Januari 2026</t>
  </si>
  <si>
    <t xml:space="preserve">Februari 2026</t>
  </si>
  <si>
    <t xml:space="preserve">Maret 2026</t>
  </si>
  <si>
    <t xml:space="preserve">April 2026</t>
  </si>
  <si>
    <t xml:space="preserve">Min</t>
  </si>
  <si>
    <t xml:space="preserve">Sen</t>
  </si>
  <si>
    <t xml:space="preserve">Sel</t>
  </si>
  <si>
    <t xml:space="preserve">Rab</t>
  </si>
  <si>
    <t xml:space="preserve">Kam</t>
  </si>
  <si>
    <t xml:space="preserve">Jum</t>
  </si>
  <si>
    <t xml:space="preserve">Sab</t>
  </si>
  <si>
    <t xml:space="preserve">Mei 2026</t>
  </si>
  <si>
    <t xml:space="preserve">Juni 2026</t>
  </si>
  <si>
    <t xml:space="preserve">Juli 2026</t>
  </si>
  <si>
    <t xml:space="preserve">Agustus 2026</t>
  </si>
  <si>
    <t xml:space="preserve">September 2026</t>
  </si>
  <si>
    <t xml:space="preserve">Oktober 2026</t>
  </si>
  <si>
    <t xml:space="preserve">November 2026</t>
  </si>
  <si>
    <t xml:space="preserve">Desember 2026</t>
  </si>
  <si>
    <t xml:space="preserve">Daftar Hari Libur Nasional &amp; Cuti Bersama 2026 (SKB 3 Menteri)</t>
  </si>
  <si>
    <t xml:space="preserve">01 Jan</t>
  </si>
  <si>
    <t xml:space="preserve">Tahun Baru Masehi (Tanggal Merah)</t>
  </si>
  <si>
    <t xml:space="preserve">01 Mei</t>
  </si>
  <si>
    <t xml:space="preserve">Hari Buruh Internasional (Tanggal Merah)</t>
  </si>
  <si>
    <t xml:space="preserve">16 Jan</t>
  </si>
  <si>
    <t xml:space="preserve">Isra Mi'raj Nabi Muhammad SAW (Tanggal Merah)</t>
  </si>
  <si>
    <t xml:space="preserve">14 Mei</t>
  </si>
  <si>
    <t xml:space="preserve">Kenaikan Yesus Kristus (Tanggal Merah)</t>
  </si>
  <si>
    <t xml:space="preserve">16 Feb</t>
  </si>
  <si>
    <t xml:space="preserve">Cuti Bersama Imlek (Cuti Bersama)</t>
  </si>
  <si>
    <t xml:space="preserve">15 Mei</t>
  </si>
  <si>
    <t xml:space="preserve">Cuti Bersama Kenaikan Yesus Kristus (Cuti Bersama)</t>
  </si>
  <si>
    <t xml:space="preserve">17 Feb</t>
  </si>
  <si>
    <t xml:space="preserve">Tahun Baru Imlek 2577 Kongzili (Tanggal Merah)</t>
  </si>
  <si>
    <t xml:space="preserve">27 Mei</t>
  </si>
  <si>
    <t xml:space="preserve">Hari Raya Idul Adha 1447 H (Tanggal Merah)</t>
  </si>
  <si>
    <t xml:space="preserve">18 Mar</t>
  </si>
  <si>
    <t xml:space="preserve">Cuti Bersama Nyepi (Cuti Bersama)</t>
  </si>
  <si>
    <t xml:space="preserve">28 Mei</t>
  </si>
  <si>
    <t xml:space="preserve">Cuti Bersama Idul Adha (Cuti Bersama)</t>
  </si>
  <si>
    <t xml:space="preserve">19 Mar</t>
  </si>
  <si>
    <t xml:space="preserve">Hari Raya Nyepi (Tahun Baru Saka 1948) (Tanggal Merah)</t>
  </si>
  <si>
    <t xml:space="preserve">31 Mei</t>
  </si>
  <si>
    <t xml:space="preserve">Hari Raya Waisak 2570 BE (Tanggal Merah)</t>
  </si>
  <si>
    <t xml:space="preserve">20 Mar</t>
  </si>
  <si>
    <t xml:space="preserve">Cuti Bersama Idul Fitri (Cuti Bersama)</t>
  </si>
  <si>
    <t xml:space="preserve">01 Jun</t>
  </si>
  <si>
    <t xml:space="preserve">Hari Lahir Pancasila (Tanggal Merah)</t>
  </si>
  <si>
    <t xml:space="preserve">21 Mar</t>
  </si>
  <si>
    <t xml:space="preserve">Hari Raya Idul Fitri 1447 H (Tanggal Merah)</t>
  </si>
  <si>
    <t xml:space="preserve">16 Jun</t>
  </si>
  <si>
    <t xml:space="preserve">Tahun Baru Islam 1448 H (Tanggal Merah)</t>
  </si>
  <si>
    <t xml:space="preserve">22 Mar</t>
  </si>
  <si>
    <t xml:space="preserve">17 Agu</t>
  </si>
  <si>
    <t xml:space="preserve">Hari Kemerdekaan Republik Indonesia (Tanggal Merah)</t>
  </si>
  <si>
    <t xml:space="preserve">23 Mar</t>
  </si>
  <si>
    <t xml:space="preserve">25 Agu</t>
  </si>
  <si>
    <t xml:space="preserve">Maulid Nabi Muhammad SAW (Tanggal Merah)</t>
  </si>
  <si>
    <t xml:space="preserve">24 Mar</t>
  </si>
  <si>
    <t xml:space="preserve">24 Des</t>
  </si>
  <si>
    <t xml:space="preserve">Cuti Bersama Natal (Cuti Bersama)</t>
  </si>
  <si>
    <t xml:space="preserve">03 Apr</t>
  </si>
  <si>
    <t xml:space="preserve">Wafat Yesus Kristus (Jumat Agung) (Tanggal Merah)</t>
  </si>
  <si>
    <t xml:space="preserve">25 Des</t>
  </si>
  <si>
    <t xml:space="preserve">Hari Raya Natal (Tanggal Merah)</t>
  </si>
  <si>
    <t xml:space="preserve">05 Apr</t>
  </si>
  <si>
    <t xml:space="preserve">Kebangkitan Yesus Kristus (Paskah) (Tanggal Merah)</t>
  </si>
  <si>
    <t xml:space="preserve">PLANNER BULANAN</t>
  </si>
  <si>
    <t xml:space="preserve">Ganti tanggal 1 di kotak biru sesuai bulan yang mau dipakai — tanggal &amp; hari otomatis menyesuaikan.</t>
  </si>
  <si>
    <t xml:space="preserve">Tanggal awal bulan:</t>
  </si>
  <si>
    <t xml:space="preserve">No</t>
  </si>
  <si>
    <t xml:space="preserve">Tanggal</t>
  </si>
  <si>
    <t xml:space="preserve">Hari</t>
  </si>
  <si>
    <t xml:space="preserve">Agenda / Kegiatan</t>
  </si>
  <si>
    <t xml:space="preserve">Kategori</t>
  </si>
  <si>
    <t xml:space="preserve">Status</t>
  </si>
  <si>
    <t xml:space="preserve">PLANNER MINGGUAN</t>
  </si>
  <si>
    <t xml:space="preserve">Ganti tanggal Senin di kotak biru — tanggal 7 hari otomatis menyesuaikan.</t>
  </si>
  <si>
    <t xml:space="preserve">Tanggal Senin (awal minggu):</t>
  </si>
  <si>
    <t xml:space="preserve">Waktu</t>
  </si>
  <si>
    <t xml:space="preserve">Senin</t>
  </si>
  <si>
    <t xml:space="preserve">Selasa</t>
  </si>
  <si>
    <t xml:space="preserve">Rabu</t>
  </si>
  <si>
    <t xml:space="preserve">Kamis</t>
  </si>
  <si>
    <t xml:space="preserve">Jumat</t>
  </si>
  <si>
    <t xml:space="preserve">Sabtu</t>
  </si>
  <si>
    <t xml:space="preserve">Minggu</t>
  </si>
  <si>
    <t xml:space="preserve">Agenda</t>
  </si>
  <si>
    <t xml:space="preserve">Pagi (06-10)</t>
  </si>
  <si>
    <t xml:space="preserve">Siang (10-14)</t>
  </si>
  <si>
    <t xml:space="preserve">Sore (14-18)</t>
  </si>
  <si>
    <t xml:space="preserve">Malam (18-22)</t>
  </si>
  <si>
    <t xml:space="preserve">Prioritas Minggu Ini</t>
  </si>
  <si>
    <t xml:space="preserve">1.</t>
  </si>
  <si>
    <t xml:space="preserve">2.</t>
  </si>
  <si>
    <t xml:space="preserve">3.</t>
  </si>
  <si>
    <t xml:space="preserve">Catatan Tambahan</t>
  </si>
  <si>
    <t xml:space="preserve">LOG AGENDA &amp; DEADLINE SEPANJANG TAHUN</t>
  </si>
  <si>
    <t xml:space="preserve">Catat semua kegiatan/deadline di sini. Tabel otomatis meluas kalau baris ditambah di bagian bawah.</t>
  </si>
  <si>
    <t xml:space="preserve">Kegiatan / Deadline</t>
  </si>
  <si>
    <t xml:space="preserve">Prioritas</t>
  </si>
  <si>
    <t xml:space="preserve">RINGKASAN AGENDA</t>
  </si>
  <si>
    <t xml:space="preserve">Rekap otomatis dari sheet "Log Agenda &amp; Deadline" — update sendiri kalau data log bertambah.</t>
  </si>
  <si>
    <t xml:space="preserve">Jumlah Kegiatan per Kategori</t>
  </si>
  <si>
    <t xml:space="preserve">Jumlah</t>
  </si>
  <si>
    <t xml:space="preserve">Kerja</t>
  </si>
  <si>
    <t xml:space="preserve">Sekolah</t>
  </si>
  <si>
    <t xml:space="preserve">Konten</t>
  </si>
  <si>
    <t xml:space="preserve">Pribadi</t>
  </si>
  <si>
    <t xml:space="preserve">Lainnya</t>
  </si>
  <si>
    <t xml:space="preserve">Jumlah Kegiatan per Status</t>
  </si>
  <si>
    <t xml:space="preserve">Belum</t>
  </si>
  <si>
    <t xml:space="preserve">Proses</t>
  </si>
  <si>
    <t xml:space="preserve">Selesai</t>
  </si>
  <si>
    <t xml:space="preserve">Total Semua Kegiatan Tercatat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</si>
</sst>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  <fill>
      <patternFill patternType="solid">
        <fgColor rgb="FFFFC7CE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EB9C"/>
        <bgColor rgb="FFFFF2CC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CE4D6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78787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6EFCE"/>
      <rgbColor rgb="FFFFEB9C"/>
      <rgbColor rgb="FF99CCFF"/>
      <rgbColor rgb="FFFCE4D6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Distribusi Kegiatan per Kategori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Ringkasan!C6</c:f>
              <c:strCache>
                <c:ptCount val="1"/>
                <c:pt idx="0">
                  <c:v>Jumlah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Ringkasan!$B$7:$B$11</c:f>
              <c:strCache>
                <c:ptCount val="5"/>
                <c:pt idx="0">
                  <c:v>Kerja</c:v>
                </c:pt>
                <c:pt idx="1">
                  <c:v>Sekolah</c:v>
                </c:pt>
                <c:pt idx="2">
                  <c:v>Konten</c:v>
                </c:pt>
                <c:pt idx="3">
                  <c:v>Pribadi</c:v>
                </c:pt>
                <c:pt idx="4">
                  <c:v>Lainnya</c:v>
                </c:pt>
              </c:strCache>
            </c:strRef>
          </c:cat>
          <c:val>
            <c:numRef>
              <c:f>Ringkasan!$C$7:$C$11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16761926"/>
        <c:axId val="75967317"/>
      </c:barChart>
      <c:catAx>
        <c:axId val="167619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Kategori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967317"/>
        <c:crosses val="autoZero"/>
        <c:auto val="1"/>
        <c:lblAlgn val="ctr"/>
        <c:lblOffset val="100"/>
        <c:noMultiLvlLbl val="0"/>
      </c:catAx>
      <c:valAx>
        <c:axId val="759673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Jumlah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7619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131040</xdr:rowOff>
    </xdr:from>
    <xdr:to>
      <xdr:col>11</xdr:col>
      <xdr:colOff>243000</xdr:colOff>
      <xdr:row>18</xdr:row>
      <xdr:rowOff>153000</xdr:rowOff>
    </xdr:to>
    <xdr:graphicFrame>
      <xdr:nvGraphicFramePr>
        <xdr:cNvPr id="0" name="Chart 1"/>
        <xdr:cNvGraphicFramePr/>
      </xdr:nvGraphicFramePr>
      <xdr:xfrm>
        <a:off x="3876840" y="76212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LogAgenda" displayName="TabelLogAgenda" ref="B5:G155" headerRowCount="1" totalsRowCount="0" totalsRowShown="0">
  <autoFilter ref="B5:G155"/>
  <tableColumns count="6">
    <tableColumn id="1" name="Tanggal"/>
    <tableColumn id="2" name="Hari"/>
    <tableColumn id="3" name="Kegiatan / Deadline"/>
    <tableColumn id="4" name="Kategori"/>
    <tableColumn id="5" name="Prioritas"/>
    <tableColumn id="6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7.75" hidden="false" customHeight="true" outlineLevel="0" collapsed="false">
      <c r="B5" s="3" t="s">
        <v>2</v>
      </c>
    </row>
    <row r="6" customFormat="false" ht="27.75" hidden="false" customHeight="true" outlineLevel="0" collapsed="false">
      <c r="B6" s="3" t="s">
        <v>3</v>
      </c>
    </row>
    <row r="7" customFormat="false" ht="27.75" hidden="false" customHeight="true" outlineLevel="0" collapsed="false">
      <c r="B7" s="3" t="s">
        <v>4</v>
      </c>
    </row>
    <row r="8" customFormat="false" ht="27.75" hidden="false" customHeight="true" outlineLevel="0" collapsed="false">
      <c r="B8" s="3" t="s">
        <v>5</v>
      </c>
    </row>
    <row r="9" customFormat="false" ht="27.75" hidden="false" customHeight="true" outlineLevel="0" collapsed="false">
      <c r="B9" s="3" t="s">
        <v>6</v>
      </c>
    </row>
    <row r="10" customFormat="false" ht="7.5" hidden="false" customHeight="true" outlineLevel="0" collapsed="false">
      <c r="B10" s="3"/>
    </row>
    <row r="11" customFormat="false" ht="27.75" hidden="false" customHeight="true" outlineLevel="0" collapsed="false">
      <c r="B11" s="3" t="s">
        <v>7</v>
      </c>
    </row>
    <row r="12" customFormat="false" ht="27.75" hidden="false" customHeight="true" outlineLevel="0" collapsed="false">
      <c r="B12" s="3" t="s">
        <v>8</v>
      </c>
    </row>
    <row r="13" customFormat="false" ht="27.75" hidden="false" customHeight="true" outlineLevel="0" collapsed="false">
      <c r="B13" s="3" t="s">
        <v>9</v>
      </c>
    </row>
    <row r="14" customFormat="false" ht="27.75" hidden="false" customHeight="true" outlineLevel="0" collapsed="false">
      <c r="B14" s="3" t="s">
        <v>10</v>
      </c>
    </row>
    <row r="15" customFormat="false" ht="27.75" hidden="false" customHeight="true" outlineLevel="0" collapsed="false">
      <c r="B15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G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3" min="2" style="0" width="4.2"/>
  </cols>
  <sheetData>
    <row r="2" customFormat="false" ht="22.05" hidden="false" customHeight="false" outlineLevel="0" collapsed="false">
      <c r="B2" s="4" t="s">
        <v>12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customFormat="false" ht="15" hidden="false" customHeight="false" outlineLevel="0" collapsed="false">
      <c r="B3" s="5" t="s">
        <v>13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5" customFormat="false" ht="18" hidden="false" customHeight="true" outlineLevel="0" collapsed="false">
      <c r="B5" s="6" t="s">
        <v>14</v>
      </c>
      <c r="C5" s="6"/>
      <c r="D5" s="6"/>
      <c r="E5" s="6"/>
      <c r="F5" s="6"/>
      <c r="G5" s="6"/>
      <c r="H5" s="6"/>
      <c r="J5" s="6" t="s">
        <v>15</v>
      </c>
      <c r="K5" s="6"/>
      <c r="L5" s="6"/>
      <c r="M5" s="6"/>
      <c r="N5" s="6"/>
      <c r="O5" s="6"/>
      <c r="P5" s="6"/>
      <c r="R5" s="6" t="s">
        <v>16</v>
      </c>
      <c r="S5" s="6"/>
      <c r="T5" s="6"/>
      <c r="U5" s="6"/>
      <c r="V5" s="6"/>
      <c r="W5" s="6"/>
      <c r="X5" s="6"/>
      <c r="Z5" s="6" t="s">
        <v>17</v>
      </c>
      <c r="AA5" s="6"/>
      <c r="AB5" s="6"/>
      <c r="AC5" s="6"/>
      <c r="AD5" s="6"/>
      <c r="AE5" s="6"/>
      <c r="AF5" s="6"/>
    </row>
    <row r="6" customFormat="false" ht="15.75" hidden="false" customHeight="true" outlineLevel="0" collapsed="false">
      <c r="B6" s="7" t="s">
        <v>18</v>
      </c>
      <c r="C6" s="7" t="s">
        <v>19</v>
      </c>
      <c r="D6" s="7" t="s">
        <v>20</v>
      </c>
      <c r="E6" s="7" t="s">
        <v>21</v>
      </c>
      <c r="F6" s="7" t="s">
        <v>22</v>
      </c>
      <c r="G6" s="7" t="s">
        <v>23</v>
      </c>
      <c r="H6" s="7" t="s">
        <v>24</v>
      </c>
      <c r="J6" s="7" t="s">
        <v>18</v>
      </c>
      <c r="K6" s="7" t="s">
        <v>19</v>
      </c>
      <c r="L6" s="7" t="s">
        <v>20</v>
      </c>
      <c r="M6" s="7" t="s">
        <v>21</v>
      </c>
      <c r="N6" s="7" t="s">
        <v>22</v>
      </c>
      <c r="O6" s="7" t="s">
        <v>23</v>
      </c>
      <c r="P6" s="7" t="s">
        <v>24</v>
      </c>
      <c r="R6" s="7" t="s">
        <v>18</v>
      </c>
      <c r="S6" s="7" t="s">
        <v>19</v>
      </c>
      <c r="T6" s="7" t="s">
        <v>20</v>
      </c>
      <c r="U6" s="7" t="s">
        <v>21</v>
      </c>
      <c r="V6" s="7" t="s">
        <v>22</v>
      </c>
      <c r="W6" s="7" t="s">
        <v>23</v>
      </c>
      <c r="X6" s="7" t="s">
        <v>24</v>
      </c>
      <c r="Z6" s="7" t="s">
        <v>18</v>
      </c>
      <c r="AA6" s="7" t="s">
        <v>19</v>
      </c>
      <c r="AB6" s="7" t="s">
        <v>20</v>
      </c>
      <c r="AC6" s="7" t="s">
        <v>21</v>
      </c>
      <c r="AD6" s="7" t="s">
        <v>22</v>
      </c>
      <c r="AE6" s="7" t="s">
        <v>23</v>
      </c>
      <c r="AF6" s="7" t="s">
        <v>24</v>
      </c>
    </row>
    <row r="7" customFormat="false" ht="15.75" hidden="false" customHeight="true" outlineLevel="0" collapsed="false">
      <c r="B7" s="8"/>
      <c r="C7" s="8"/>
      <c r="D7" s="8"/>
      <c r="E7" s="8"/>
      <c r="F7" s="9" t="n">
        <v>1</v>
      </c>
      <c r="G7" s="8" t="n">
        <v>2</v>
      </c>
      <c r="H7" s="10" t="n">
        <v>3</v>
      </c>
      <c r="J7" s="10" t="n">
        <v>1</v>
      </c>
      <c r="K7" s="8" t="n">
        <v>2</v>
      </c>
      <c r="L7" s="8" t="n">
        <v>3</v>
      </c>
      <c r="M7" s="8" t="n">
        <v>4</v>
      </c>
      <c r="N7" s="8" t="n">
        <v>5</v>
      </c>
      <c r="O7" s="8" t="n">
        <v>6</v>
      </c>
      <c r="P7" s="10" t="n">
        <v>7</v>
      </c>
      <c r="R7" s="10" t="n">
        <v>1</v>
      </c>
      <c r="S7" s="8" t="n">
        <v>2</v>
      </c>
      <c r="T7" s="8" t="n">
        <v>3</v>
      </c>
      <c r="U7" s="8" t="n">
        <v>4</v>
      </c>
      <c r="V7" s="8" t="n">
        <v>5</v>
      </c>
      <c r="W7" s="8" t="n">
        <v>6</v>
      </c>
      <c r="X7" s="10" t="n">
        <v>7</v>
      </c>
      <c r="Z7" s="8"/>
      <c r="AA7" s="8"/>
      <c r="AB7" s="8"/>
      <c r="AC7" s="8" t="n">
        <v>1</v>
      </c>
      <c r="AD7" s="8" t="n">
        <v>2</v>
      </c>
      <c r="AE7" s="9" t="n">
        <v>3</v>
      </c>
      <c r="AF7" s="10" t="n">
        <v>4</v>
      </c>
    </row>
    <row r="8" customFormat="false" ht="15.75" hidden="false" customHeight="true" outlineLevel="0" collapsed="false">
      <c r="B8" s="10" t="n">
        <v>4</v>
      </c>
      <c r="C8" s="8" t="n">
        <v>5</v>
      </c>
      <c r="D8" s="8" t="n">
        <v>6</v>
      </c>
      <c r="E8" s="8" t="n">
        <v>7</v>
      </c>
      <c r="F8" s="8" t="n">
        <v>8</v>
      </c>
      <c r="G8" s="8" t="n">
        <v>9</v>
      </c>
      <c r="H8" s="10" t="n">
        <v>10</v>
      </c>
      <c r="J8" s="10" t="n">
        <v>8</v>
      </c>
      <c r="K8" s="8" t="n">
        <v>9</v>
      </c>
      <c r="L8" s="8" t="n">
        <v>10</v>
      </c>
      <c r="M8" s="8" t="n">
        <v>11</v>
      </c>
      <c r="N8" s="8" t="n">
        <v>12</v>
      </c>
      <c r="O8" s="8" t="n">
        <v>13</v>
      </c>
      <c r="P8" s="10" t="n">
        <v>14</v>
      </c>
      <c r="R8" s="10" t="n">
        <v>8</v>
      </c>
      <c r="S8" s="8" t="n">
        <v>9</v>
      </c>
      <c r="T8" s="8" t="n">
        <v>10</v>
      </c>
      <c r="U8" s="8" t="n">
        <v>11</v>
      </c>
      <c r="V8" s="8" t="n">
        <v>12</v>
      </c>
      <c r="W8" s="8" t="n">
        <v>13</v>
      </c>
      <c r="X8" s="10" t="n">
        <v>14</v>
      </c>
      <c r="Z8" s="9" t="n">
        <v>5</v>
      </c>
      <c r="AA8" s="8" t="n">
        <v>6</v>
      </c>
      <c r="AB8" s="8" t="n">
        <v>7</v>
      </c>
      <c r="AC8" s="8" t="n">
        <v>8</v>
      </c>
      <c r="AD8" s="8" t="n">
        <v>9</v>
      </c>
      <c r="AE8" s="8" t="n">
        <v>10</v>
      </c>
      <c r="AF8" s="10" t="n">
        <v>11</v>
      </c>
    </row>
    <row r="9" customFormat="false" ht="15.75" hidden="false" customHeight="true" outlineLevel="0" collapsed="false">
      <c r="B9" s="10" t="n">
        <v>11</v>
      </c>
      <c r="C9" s="8" t="n">
        <v>12</v>
      </c>
      <c r="D9" s="8" t="n">
        <v>13</v>
      </c>
      <c r="E9" s="8" t="n">
        <v>14</v>
      </c>
      <c r="F9" s="8" t="n">
        <v>15</v>
      </c>
      <c r="G9" s="9" t="n">
        <v>16</v>
      </c>
      <c r="H9" s="10" t="n">
        <v>17</v>
      </c>
      <c r="J9" s="10" t="n">
        <v>15</v>
      </c>
      <c r="K9" s="11" t="n">
        <v>16</v>
      </c>
      <c r="L9" s="9" t="n">
        <v>17</v>
      </c>
      <c r="M9" s="8" t="n">
        <v>18</v>
      </c>
      <c r="N9" s="8" t="n">
        <v>19</v>
      </c>
      <c r="O9" s="8" t="n">
        <v>20</v>
      </c>
      <c r="P9" s="10" t="n">
        <v>21</v>
      </c>
      <c r="R9" s="10" t="n">
        <v>15</v>
      </c>
      <c r="S9" s="8" t="n">
        <v>16</v>
      </c>
      <c r="T9" s="8" t="n">
        <v>17</v>
      </c>
      <c r="U9" s="11" t="n">
        <v>18</v>
      </c>
      <c r="V9" s="9" t="n">
        <v>19</v>
      </c>
      <c r="W9" s="11" t="n">
        <v>20</v>
      </c>
      <c r="X9" s="9" t="n">
        <v>21</v>
      </c>
      <c r="Z9" s="10" t="n">
        <v>12</v>
      </c>
      <c r="AA9" s="8" t="n">
        <v>13</v>
      </c>
      <c r="AB9" s="8" t="n">
        <v>14</v>
      </c>
      <c r="AC9" s="8" t="n">
        <v>15</v>
      </c>
      <c r="AD9" s="8" t="n">
        <v>16</v>
      </c>
      <c r="AE9" s="8" t="n">
        <v>17</v>
      </c>
      <c r="AF9" s="10" t="n">
        <v>18</v>
      </c>
    </row>
    <row r="10" customFormat="false" ht="15.75" hidden="false" customHeight="true" outlineLevel="0" collapsed="false">
      <c r="B10" s="10" t="n">
        <v>18</v>
      </c>
      <c r="C10" s="8" t="n">
        <v>19</v>
      </c>
      <c r="D10" s="8" t="n">
        <v>20</v>
      </c>
      <c r="E10" s="8" t="n">
        <v>21</v>
      </c>
      <c r="F10" s="8" t="n">
        <v>22</v>
      </c>
      <c r="G10" s="8" t="n">
        <v>23</v>
      </c>
      <c r="H10" s="10" t="n">
        <v>24</v>
      </c>
      <c r="J10" s="10" t="n">
        <v>22</v>
      </c>
      <c r="K10" s="8" t="n">
        <v>23</v>
      </c>
      <c r="L10" s="8" t="n">
        <v>24</v>
      </c>
      <c r="M10" s="8" t="n">
        <v>25</v>
      </c>
      <c r="N10" s="8" t="n">
        <v>26</v>
      </c>
      <c r="O10" s="8" t="n">
        <v>27</v>
      </c>
      <c r="P10" s="10" t="n">
        <v>28</v>
      </c>
      <c r="R10" s="9" t="n">
        <v>22</v>
      </c>
      <c r="S10" s="11" t="n">
        <v>23</v>
      </c>
      <c r="T10" s="11" t="n">
        <v>24</v>
      </c>
      <c r="U10" s="8" t="n">
        <v>25</v>
      </c>
      <c r="V10" s="8" t="n">
        <v>26</v>
      </c>
      <c r="W10" s="8" t="n">
        <v>27</v>
      </c>
      <c r="X10" s="10" t="n">
        <v>28</v>
      </c>
      <c r="Z10" s="10" t="n">
        <v>19</v>
      </c>
      <c r="AA10" s="8" t="n">
        <v>20</v>
      </c>
      <c r="AB10" s="8" t="n">
        <v>21</v>
      </c>
      <c r="AC10" s="8" t="n">
        <v>22</v>
      </c>
      <c r="AD10" s="8" t="n">
        <v>23</v>
      </c>
      <c r="AE10" s="8" t="n">
        <v>24</v>
      </c>
      <c r="AF10" s="10" t="n">
        <v>25</v>
      </c>
    </row>
    <row r="11" customFormat="false" ht="15.75" hidden="false" customHeight="true" outlineLevel="0" collapsed="false">
      <c r="B11" s="10" t="n">
        <v>25</v>
      </c>
      <c r="C11" s="8" t="n">
        <v>26</v>
      </c>
      <c r="D11" s="8" t="n">
        <v>27</v>
      </c>
      <c r="E11" s="8" t="n">
        <v>28</v>
      </c>
      <c r="F11" s="8" t="n">
        <v>29</v>
      </c>
      <c r="G11" s="8" t="n">
        <v>30</v>
      </c>
      <c r="H11" s="10" t="n">
        <v>31</v>
      </c>
      <c r="J11" s="12"/>
      <c r="K11" s="12"/>
      <c r="L11" s="12"/>
      <c r="M11" s="12"/>
      <c r="N11" s="12"/>
      <c r="O11" s="12"/>
      <c r="P11" s="12"/>
      <c r="R11" s="10" t="n">
        <v>29</v>
      </c>
      <c r="S11" s="8" t="n">
        <v>30</v>
      </c>
      <c r="T11" s="8" t="n">
        <v>31</v>
      </c>
      <c r="U11" s="8"/>
      <c r="V11" s="8"/>
      <c r="W11" s="8"/>
      <c r="X11" s="8"/>
      <c r="Z11" s="10" t="n">
        <v>26</v>
      </c>
      <c r="AA11" s="8" t="n">
        <v>27</v>
      </c>
      <c r="AB11" s="8" t="n">
        <v>28</v>
      </c>
      <c r="AC11" s="8" t="n">
        <v>29</v>
      </c>
      <c r="AD11" s="8" t="n">
        <v>30</v>
      </c>
      <c r="AE11" s="8"/>
      <c r="AF11" s="8"/>
    </row>
    <row r="12" customFormat="false" ht="15.75" hidden="false" customHeight="true" outlineLevel="0" collapsed="false">
      <c r="B12" s="12"/>
      <c r="C12" s="12"/>
      <c r="D12" s="12"/>
      <c r="E12" s="12"/>
      <c r="F12" s="12"/>
      <c r="G12" s="12"/>
      <c r="H12" s="12"/>
      <c r="J12" s="12"/>
      <c r="K12" s="12"/>
      <c r="L12" s="12"/>
      <c r="M12" s="12"/>
      <c r="N12" s="12"/>
      <c r="O12" s="12"/>
      <c r="P12" s="12"/>
      <c r="R12" s="12"/>
      <c r="S12" s="12"/>
      <c r="T12" s="12"/>
      <c r="U12" s="12"/>
      <c r="V12" s="12"/>
      <c r="W12" s="12"/>
      <c r="X12" s="12"/>
      <c r="Z12" s="12"/>
      <c r="AA12" s="12"/>
      <c r="AB12" s="12"/>
      <c r="AC12" s="12"/>
      <c r="AD12" s="12"/>
      <c r="AE12" s="12"/>
      <c r="AF12" s="12"/>
    </row>
    <row r="13" customFormat="false" ht="15.75" hidden="false" customHeight="true" outlineLevel="0" collapsed="false"/>
    <row r="14" customFormat="false" ht="18" hidden="false" customHeight="true" outlineLevel="0" collapsed="false">
      <c r="B14" s="6" t="s">
        <v>25</v>
      </c>
      <c r="C14" s="6"/>
      <c r="D14" s="6"/>
      <c r="E14" s="6"/>
      <c r="F14" s="6"/>
      <c r="G14" s="6"/>
      <c r="H14" s="6"/>
      <c r="J14" s="6" t="s">
        <v>26</v>
      </c>
      <c r="K14" s="6"/>
      <c r="L14" s="6"/>
      <c r="M14" s="6"/>
      <c r="N14" s="6"/>
      <c r="O14" s="6"/>
      <c r="P14" s="6"/>
      <c r="R14" s="6" t="s">
        <v>27</v>
      </c>
      <c r="S14" s="6"/>
      <c r="T14" s="6"/>
      <c r="U14" s="6"/>
      <c r="V14" s="6"/>
      <c r="W14" s="6"/>
      <c r="X14" s="6"/>
      <c r="Z14" s="6" t="s">
        <v>28</v>
      </c>
      <c r="AA14" s="6"/>
      <c r="AB14" s="6"/>
      <c r="AC14" s="6"/>
      <c r="AD14" s="6"/>
      <c r="AE14" s="6"/>
      <c r="AF14" s="6"/>
    </row>
    <row r="15" customFormat="false" ht="15.75" hidden="false" customHeight="true" outlineLevel="0" collapsed="false">
      <c r="B15" s="7" t="s">
        <v>18</v>
      </c>
      <c r="C15" s="7" t="s">
        <v>19</v>
      </c>
      <c r="D15" s="7" t="s">
        <v>20</v>
      </c>
      <c r="E15" s="7" t="s">
        <v>21</v>
      </c>
      <c r="F15" s="7" t="s">
        <v>22</v>
      </c>
      <c r="G15" s="7" t="s">
        <v>23</v>
      </c>
      <c r="H15" s="7" t="s">
        <v>24</v>
      </c>
      <c r="J15" s="7" t="s">
        <v>18</v>
      </c>
      <c r="K15" s="7" t="s">
        <v>19</v>
      </c>
      <c r="L15" s="7" t="s">
        <v>20</v>
      </c>
      <c r="M15" s="7" t="s">
        <v>21</v>
      </c>
      <c r="N15" s="7" t="s">
        <v>22</v>
      </c>
      <c r="O15" s="7" t="s">
        <v>23</v>
      </c>
      <c r="P15" s="7" t="s">
        <v>24</v>
      </c>
      <c r="R15" s="7" t="s">
        <v>18</v>
      </c>
      <c r="S15" s="7" t="s">
        <v>19</v>
      </c>
      <c r="T15" s="7" t="s">
        <v>20</v>
      </c>
      <c r="U15" s="7" t="s">
        <v>21</v>
      </c>
      <c r="V15" s="7" t="s">
        <v>22</v>
      </c>
      <c r="W15" s="7" t="s">
        <v>23</v>
      </c>
      <c r="X15" s="7" t="s">
        <v>24</v>
      </c>
      <c r="Z15" s="7" t="s">
        <v>18</v>
      </c>
      <c r="AA15" s="7" t="s">
        <v>19</v>
      </c>
      <c r="AB15" s="7" t="s">
        <v>20</v>
      </c>
      <c r="AC15" s="7" t="s">
        <v>21</v>
      </c>
      <c r="AD15" s="7" t="s">
        <v>22</v>
      </c>
      <c r="AE15" s="7" t="s">
        <v>23</v>
      </c>
      <c r="AF15" s="7" t="s">
        <v>24</v>
      </c>
    </row>
    <row r="16" customFormat="false" ht="15.75" hidden="false" customHeight="true" outlineLevel="0" collapsed="false">
      <c r="B16" s="8"/>
      <c r="C16" s="8"/>
      <c r="D16" s="8"/>
      <c r="E16" s="8"/>
      <c r="F16" s="8"/>
      <c r="G16" s="9" t="n">
        <v>1</v>
      </c>
      <c r="H16" s="10" t="n">
        <v>2</v>
      </c>
      <c r="J16" s="8"/>
      <c r="K16" s="9" t="n">
        <v>1</v>
      </c>
      <c r="L16" s="8" t="n">
        <v>2</v>
      </c>
      <c r="M16" s="8" t="n">
        <v>3</v>
      </c>
      <c r="N16" s="8" t="n">
        <v>4</v>
      </c>
      <c r="O16" s="8" t="n">
        <v>5</v>
      </c>
      <c r="P16" s="10" t="n">
        <v>6</v>
      </c>
      <c r="R16" s="8"/>
      <c r="S16" s="8"/>
      <c r="T16" s="8"/>
      <c r="U16" s="8" t="n">
        <v>1</v>
      </c>
      <c r="V16" s="8" t="n">
        <v>2</v>
      </c>
      <c r="W16" s="8" t="n">
        <v>3</v>
      </c>
      <c r="X16" s="10" t="n">
        <v>4</v>
      </c>
      <c r="Z16" s="8"/>
      <c r="AA16" s="8"/>
      <c r="AB16" s="8"/>
      <c r="AC16" s="8"/>
      <c r="AD16" s="8"/>
      <c r="AE16" s="8"/>
      <c r="AF16" s="10" t="n">
        <v>1</v>
      </c>
    </row>
    <row r="17" customFormat="false" ht="15.75" hidden="false" customHeight="true" outlineLevel="0" collapsed="false">
      <c r="B17" s="10" t="n">
        <v>3</v>
      </c>
      <c r="C17" s="8" t="n">
        <v>4</v>
      </c>
      <c r="D17" s="8" t="n">
        <v>5</v>
      </c>
      <c r="E17" s="8" t="n">
        <v>6</v>
      </c>
      <c r="F17" s="8" t="n">
        <v>7</v>
      </c>
      <c r="G17" s="8" t="n">
        <v>8</v>
      </c>
      <c r="H17" s="10" t="n">
        <v>9</v>
      </c>
      <c r="J17" s="10" t="n">
        <v>7</v>
      </c>
      <c r="K17" s="8" t="n">
        <v>8</v>
      </c>
      <c r="L17" s="8" t="n">
        <v>9</v>
      </c>
      <c r="M17" s="8" t="n">
        <v>10</v>
      </c>
      <c r="N17" s="8" t="n">
        <v>11</v>
      </c>
      <c r="O17" s="8" t="n">
        <v>12</v>
      </c>
      <c r="P17" s="10" t="n">
        <v>13</v>
      </c>
      <c r="R17" s="10" t="n">
        <v>5</v>
      </c>
      <c r="S17" s="8" t="n">
        <v>6</v>
      </c>
      <c r="T17" s="8" t="n">
        <v>7</v>
      </c>
      <c r="U17" s="8" t="n">
        <v>8</v>
      </c>
      <c r="V17" s="8" t="n">
        <v>9</v>
      </c>
      <c r="W17" s="8" t="n">
        <v>10</v>
      </c>
      <c r="X17" s="10" t="n">
        <v>11</v>
      </c>
      <c r="Z17" s="10" t="n">
        <v>2</v>
      </c>
      <c r="AA17" s="8" t="n">
        <v>3</v>
      </c>
      <c r="AB17" s="8" t="n">
        <v>4</v>
      </c>
      <c r="AC17" s="8" t="n">
        <v>5</v>
      </c>
      <c r="AD17" s="8" t="n">
        <v>6</v>
      </c>
      <c r="AE17" s="8" t="n">
        <v>7</v>
      </c>
      <c r="AF17" s="10" t="n">
        <v>8</v>
      </c>
    </row>
    <row r="18" customFormat="false" ht="15.75" hidden="false" customHeight="true" outlineLevel="0" collapsed="false">
      <c r="B18" s="10" t="n">
        <v>10</v>
      </c>
      <c r="C18" s="8" t="n">
        <v>11</v>
      </c>
      <c r="D18" s="8" t="n">
        <v>12</v>
      </c>
      <c r="E18" s="8" t="n">
        <v>13</v>
      </c>
      <c r="F18" s="9" t="n">
        <v>14</v>
      </c>
      <c r="G18" s="11" t="n">
        <v>15</v>
      </c>
      <c r="H18" s="10" t="n">
        <v>16</v>
      </c>
      <c r="J18" s="10" t="n">
        <v>14</v>
      </c>
      <c r="K18" s="8" t="n">
        <v>15</v>
      </c>
      <c r="L18" s="9" t="n">
        <v>16</v>
      </c>
      <c r="M18" s="8" t="n">
        <v>17</v>
      </c>
      <c r="N18" s="8" t="n">
        <v>18</v>
      </c>
      <c r="O18" s="8" t="n">
        <v>19</v>
      </c>
      <c r="P18" s="10" t="n">
        <v>20</v>
      </c>
      <c r="R18" s="10" t="n">
        <v>12</v>
      </c>
      <c r="S18" s="8" t="n">
        <v>13</v>
      </c>
      <c r="T18" s="8" t="n">
        <v>14</v>
      </c>
      <c r="U18" s="8" t="n">
        <v>15</v>
      </c>
      <c r="V18" s="8" t="n">
        <v>16</v>
      </c>
      <c r="W18" s="8" t="n">
        <v>17</v>
      </c>
      <c r="X18" s="10" t="n">
        <v>18</v>
      </c>
      <c r="Z18" s="10" t="n">
        <v>9</v>
      </c>
      <c r="AA18" s="8" t="n">
        <v>10</v>
      </c>
      <c r="AB18" s="8" t="n">
        <v>11</v>
      </c>
      <c r="AC18" s="8" t="n">
        <v>12</v>
      </c>
      <c r="AD18" s="8" t="n">
        <v>13</v>
      </c>
      <c r="AE18" s="8" t="n">
        <v>14</v>
      </c>
      <c r="AF18" s="10" t="n">
        <v>15</v>
      </c>
    </row>
    <row r="19" customFormat="false" ht="15.75" hidden="false" customHeight="true" outlineLevel="0" collapsed="false">
      <c r="B19" s="10" t="n">
        <v>17</v>
      </c>
      <c r="C19" s="8" t="n">
        <v>18</v>
      </c>
      <c r="D19" s="8" t="n">
        <v>19</v>
      </c>
      <c r="E19" s="8" t="n">
        <v>20</v>
      </c>
      <c r="F19" s="8" t="n">
        <v>21</v>
      </c>
      <c r="G19" s="8" t="n">
        <v>22</v>
      </c>
      <c r="H19" s="10" t="n">
        <v>23</v>
      </c>
      <c r="J19" s="10" t="n">
        <v>21</v>
      </c>
      <c r="K19" s="8" t="n">
        <v>22</v>
      </c>
      <c r="L19" s="8" t="n">
        <v>23</v>
      </c>
      <c r="M19" s="8" t="n">
        <v>24</v>
      </c>
      <c r="N19" s="8" t="n">
        <v>25</v>
      </c>
      <c r="O19" s="8" t="n">
        <v>26</v>
      </c>
      <c r="P19" s="10" t="n">
        <v>27</v>
      </c>
      <c r="R19" s="10" t="n">
        <v>19</v>
      </c>
      <c r="S19" s="8" t="n">
        <v>20</v>
      </c>
      <c r="T19" s="8" t="n">
        <v>21</v>
      </c>
      <c r="U19" s="8" t="n">
        <v>22</v>
      </c>
      <c r="V19" s="8" t="n">
        <v>23</v>
      </c>
      <c r="W19" s="8" t="n">
        <v>24</v>
      </c>
      <c r="X19" s="10" t="n">
        <v>25</v>
      </c>
      <c r="Z19" s="10" t="n">
        <v>16</v>
      </c>
      <c r="AA19" s="9" t="n">
        <v>17</v>
      </c>
      <c r="AB19" s="8" t="n">
        <v>18</v>
      </c>
      <c r="AC19" s="8" t="n">
        <v>19</v>
      </c>
      <c r="AD19" s="8" t="n">
        <v>20</v>
      </c>
      <c r="AE19" s="8" t="n">
        <v>21</v>
      </c>
      <c r="AF19" s="10" t="n">
        <v>22</v>
      </c>
    </row>
    <row r="20" customFormat="false" ht="15.75" hidden="false" customHeight="true" outlineLevel="0" collapsed="false">
      <c r="B20" s="10" t="n">
        <v>24</v>
      </c>
      <c r="C20" s="8" t="n">
        <v>25</v>
      </c>
      <c r="D20" s="8" t="n">
        <v>26</v>
      </c>
      <c r="E20" s="9" t="n">
        <v>27</v>
      </c>
      <c r="F20" s="11" t="n">
        <v>28</v>
      </c>
      <c r="G20" s="8" t="n">
        <v>29</v>
      </c>
      <c r="H20" s="10" t="n">
        <v>30</v>
      </c>
      <c r="J20" s="10" t="n">
        <v>28</v>
      </c>
      <c r="K20" s="8" t="n">
        <v>29</v>
      </c>
      <c r="L20" s="8" t="n">
        <v>30</v>
      </c>
      <c r="M20" s="8"/>
      <c r="N20" s="8"/>
      <c r="O20" s="8"/>
      <c r="P20" s="8"/>
      <c r="R20" s="10" t="n">
        <v>26</v>
      </c>
      <c r="S20" s="8" t="n">
        <v>27</v>
      </c>
      <c r="T20" s="8" t="n">
        <v>28</v>
      </c>
      <c r="U20" s="8" t="n">
        <v>29</v>
      </c>
      <c r="V20" s="8" t="n">
        <v>30</v>
      </c>
      <c r="W20" s="8" t="n">
        <v>31</v>
      </c>
      <c r="X20" s="8"/>
      <c r="Z20" s="10" t="n">
        <v>23</v>
      </c>
      <c r="AA20" s="8" t="n">
        <v>24</v>
      </c>
      <c r="AB20" s="9" t="n">
        <v>25</v>
      </c>
      <c r="AC20" s="8" t="n">
        <v>26</v>
      </c>
      <c r="AD20" s="8" t="n">
        <v>27</v>
      </c>
      <c r="AE20" s="8" t="n">
        <v>28</v>
      </c>
      <c r="AF20" s="10" t="n">
        <v>29</v>
      </c>
    </row>
    <row r="21" customFormat="false" ht="15.75" hidden="false" customHeight="true" outlineLevel="0" collapsed="false">
      <c r="B21" s="9" t="n">
        <v>31</v>
      </c>
      <c r="C21" s="8"/>
      <c r="D21" s="8"/>
      <c r="E21" s="8"/>
      <c r="F21" s="8"/>
      <c r="G21" s="8"/>
      <c r="H21" s="8"/>
      <c r="J21" s="12"/>
      <c r="K21" s="12"/>
      <c r="L21" s="12"/>
      <c r="M21" s="12"/>
      <c r="N21" s="12"/>
      <c r="O21" s="12"/>
      <c r="P21" s="12"/>
      <c r="R21" s="12"/>
      <c r="S21" s="12"/>
      <c r="T21" s="12"/>
      <c r="U21" s="12"/>
      <c r="V21" s="12"/>
      <c r="W21" s="12"/>
      <c r="X21" s="12"/>
      <c r="Z21" s="10" t="n">
        <v>30</v>
      </c>
      <c r="AA21" s="8" t="n">
        <v>31</v>
      </c>
      <c r="AB21" s="8"/>
      <c r="AC21" s="8"/>
      <c r="AD21" s="8"/>
      <c r="AE21" s="8"/>
      <c r="AF21" s="8"/>
    </row>
    <row r="22" customFormat="false" ht="15.75" hidden="false" customHeight="true" outlineLevel="0" collapsed="false"/>
    <row r="23" customFormat="false" ht="18" hidden="false" customHeight="true" outlineLevel="0" collapsed="false">
      <c r="B23" s="6" t="s">
        <v>29</v>
      </c>
      <c r="C23" s="6"/>
      <c r="D23" s="6"/>
      <c r="E23" s="6"/>
      <c r="F23" s="6"/>
      <c r="G23" s="6"/>
      <c r="H23" s="6"/>
      <c r="J23" s="6" t="s">
        <v>30</v>
      </c>
      <c r="K23" s="6"/>
      <c r="L23" s="6"/>
      <c r="M23" s="6"/>
      <c r="N23" s="6"/>
      <c r="O23" s="6"/>
      <c r="P23" s="6"/>
      <c r="R23" s="6" t="s">
        <v>31</v>
      </c>
      <c r="S23" s="6"/>
      <c r="T23" s="6"/>
      <c r="U23" s="6"/>
      <c r="V23" s="6"/>
      <c r="W23" s="6"/>
      <c r="X23" s="6"/>
      <c r="Z23" s="6" t="s">
        <v>32</v>
      </c>
      <c r="AA23" s="6"/>
      <c r="AB23" s="6"/>
      <c r="AC23" s="6"/>
      <c r="AD23" s="6"/>
      <c r="AE23" s="6"/>
      <c r="AF23" s="6"/>
    </row>
    <row r="24" customFormat="false" ht="15.75" hidden="false" customHeight="true" outlineLevel="0" collapsed="false">
      <c r="B24" s="7" t="s">
        <v>18</v>
      </c>
      <c r="C24" s="7" t="s">
        <v>19</v>
      </c>
      <c r="D24" s="7" t="s">
        <v>20</v>
      </c>
      <c r="E24" s="7" t="s">
        <v>21</v>
      </c>
      <c r="F24" s="7" t="s">
        <v>22</v>
      </c>
      <c r="G24" s="7" t="s">
        <v>23</v>
      </c>
      <c r="H24" s="7" t="s">
        <v>24</v>
      </c>
      <c r="J24" s="7" t="s">
        <v>18</v>
      </c>
      <c r="K24" s="7" t="s">
        <v>19</v>
      </c>
      <c r="L24" s="7" t="s">
        <v>20</v>
      </c>
      <c r="M24" s="7" t="s">
        <v>21</v>
      </c>
      <c r="N24" s="7" t="s">
        <v>22</v>
      </c>
      <c r="O24" s="7" t="s">
        <v>23</v>
      </c>
      <c r="P24" s="7" t="s">
        <v>24</v>
      </c>
      <c r="R24" s="7" t="s">
        <v>18</v>
      </c>
      <c r="S24" s="7" t="s">
        <v>19</v>
      </c>
      <c r="T24" s="7" t="s">
        <v>20</v>
      </c>
      <c r="U24" s="7" t="s">
        <v>21</v>
      </c>
      <c r="V24" s="7" t="s">
        <v>22</v>
      </c>
      <c r="W24" s="7" t="s">
        <v>23</v>
      </c>
      <c r="X24" s="7" t="s">
        <v>24</v>
      </c>
      <c r="Z24" s="7" t="s">
        <v>18</v>
      </c>
      <c r="AA24" s="7" t="s">
        <v>19</v>
      </c>
      <c r="AB24" s="7" t="s">
        <v>20</v>
      </c>
      <c r="AC24" s="7" t="s">
        <v>21</v>
      </c>
      <c r="AD24" s="7" t="s">
        <v>22</v>
      </c>
      <c r="AE24" s="7" t="s">
        <v>23</v>
      </c>
      <c r="AF24" s="7" t="s">
        <v>24</v>
      </c>
    </row>
    <row r="25" customFormat="false" ht="15.75" hidden="false" customHeight="true" outlineLevel="0" collapsed="false">
      <c r="B25" s="8"/>
      <c r="C25" s="8"/>
      <c r="D25" s="8" t="n">
        <v>1</v>
      </c>
      <c r="E25" s="8" t="n">
        <v>2</v>
      </c>
      <c r="F25" s="8" t="n">
        <v>3</v>
      </c>
      <c r="G25" s="8" t="n">
        <v>4</v>
      </c>
      <c r="H25" s="10" t="n">
        <v>5</v>
      </c>
      <c r="J25" s="8"/>
      <c r="K25" s="8"/>
      <c r="L25" s="8"/>
      <c r="M25" s="8"/>
      <c r="N25" s="8" t="n">
        <v>1</v>
      </c>
      <c r="O25" s="8" t="n">
        <v>2</v>
      </c>
      <c r="P25" s="10" t="n">
        <v>3</v>
      </c>
      <c r="R25" s="10" t="n">
        <v>1</v>
      </c>
      <c r="S25" s="8" t="n">
        <v>2</v>
      </c>
      <c r="T25" s="8" t="n">
        <v>3</v>
      </c>
      <c r="U25" s="8" t="n">
        <v>4</v>
      </c>
      <c r="V25" s="8" t="n">
        <v>5</v>
      </c>
      <c r="W25" s="8" t="n">
        <v>6</v>
      </c>
      <c r="X25" s="10" t="n">
        <v>7</v>
      </c>
      <c r="Z25" s="8"/>
      <c r="AA25" s="8"/>
      <c r="AB25" s="8" t="n">
        <v>1</v>
      </c>
      <c r="AC25" s="8" t="n">
        <v>2</v>
      </c>
      <c r="AD25" s="8" t="n">
        <v>3</v>
      </c>
      <c r="AE25" s="8" t="n">
        <v>4</v>
      </c>
      <c r="AF25" s="10" t="n">
        <v>5</v>
      </c>
    </row>
    <row r="26" customFormat="false" ht="15.75" hidden="false" customHeight="true" outlineLevel="0" collapsed="false">
      <c r="B26" s="10" t="n">
        <v>6</v>
      </c>
      <c r="C26" s="8" t="n">
        <v>7</v>
      </c>
      <c r="D26" s="8" t="n">
        <v>8</v>
      </c>
      <c r="E26" s="8" t="n">
        <v>9</v>
      </c>
      <c r="F26" s="8" t="n">
        <v>10</v>
      </c>
      <c r="G26" s="8" t="n">
        <v>11</v>
      </c>
      <c r="H26" s="10" t="n">
        <v>12</v>
      </c>
      <c r="J26" s="10" t="n">
        <v>4</v>
      </c>
      <c r="K26" s="8" t="n">
        <v>5</v>
      </c>
      <c r="L26" s="8" t="n">
        <v>6</v>
      </c>
      <c r="M26" s="8" t="n">
        <v>7</v>
      </c>
      <c r="N26" s="8" t="n">
        <v>8</v>
      </c>
      <c r="O26" s="8" t="n">
        <v>9</v>
      </c>
      <c r="P26" s="10" t="n">
        <v>10</v>
      </c>
      <c r="R26" s="10" t="n">
        <v>8</v>
      </c>
      <c r="S26" s="8" t="n">
        <v>9</v>
      </c>
      <c r="T26" s="8" t="n">
        <v>10</v>
      </c>
      <c r="U26" s="8" t="n">
        <v>11</v>
      </c>
      <c r="V26" s="8" t="n">
        <v>12</v>
      </c>
      <c r="W26" s="8" t="n">
        <v>13</v>
      </c>
      <c r="X26" s="10" t="n">
        <v>14</v>
      </c>
      <c r="Z26" s="10" t="n">
        <v>6</v>
      </c>
      <c r="AA26" s="8" t="n">
        <v>7</v>
      </c>
      <c r="AB26" s="8" t="n">
        <v>8</v>
      </c>
      <c r="AC26" s="8" t="n">
        <v>9</v>
      </c>
      <c r="AD26" s="8" t="n">
        <v>10</v>
      </c>
      <c r="AE26" s="8" t="n">
        <v>11</v>
      </c>
      <c r="AF26" s="10" t="n">
        <v>12</v>
      </c>
    </row>
    <row r="27" customFormat="false" ht="15.75" hidden="false" customHeight="true" outlineLevel="0" collapsed="false">
      <c r="B27" s="10" t="n">
        <v>13</v>
      </c>
      <c r="C27" s="8" t="n">
        <v>14</v>
      </c>
      <c r="D27" s="8" t="n">
        <v>15</v>
      </c>
      <c r="E27" s="8" t="n">
        <v>16</v>
      </c>
      <c r="F27" s="8" t="n">
        <v>17</v>
      </c>
      <c r="G27" s="8" t="n">
        <v>18</v>
      </c>
      <c r="H27" s="10" t="n">
        <v>19</v>
      </c>
      <c r="J27" s="10" t="n">
        <v>11</v>
      </c>
      <c r="K27" s="8" t="n">
        <v>12</v>
      </c>
      <c r="L27" s="8" t="n">
        <v>13</v>
      </c>
      <c r="M27" s="8" t="n">
        <v>14</v>
      </c>
      <c r="N27" s="8" t="n">
        <v>15</v>
      </c>
      <c r="O27" s="8" t="n">
        <v>16</v>
      </c>
      <c r="P27" s="10" t="n">
        <v>17</v>
      </c>
      <c r="R27" s="10" t="n">
        <v>15</v>
      </c>
      <c r="S27" s="8" t="n">
        <v>16</v>
      </c>
      <c r="T27" s="8" t="n">
        <v>17</v>
      </c>
      <c r="U27" s="8" t="n">
        <v>18</v>
      </c>
      <c r="V27" s="8" t="n">
        <v>19</v>
      </c>
      <c r="W27" s="8" t="n">
        <v>20</v>
      </c>
      <c r="X27" s="10" t="n">
        <v>21</v>
      </c>
      <c r="Z27" s="10" t="n">
        <v>13</v>
      </c>
      <c r="AA27" s="8" t="n">
        <v>14</v>
      </c>
      <c r="AB27" s="8" t="n">
        <v>15</v>
      </c>
      <c r="AC27" s="8" t="n">
        <v>16</v>
      </c>
      <c r="AD27" s="8" t="n">
        <v>17</v>
      </c>
      <c r="AE27" s="8" t="n">
        <v>18</v>
      </c>
      <c r="AF27" s="10" t="n">
        <v>19</v>
      </c>
    </row>
    <row r="28" customFormat="false" ht="15.75" hidden="false" customHeight="true" outlineLevel="0" collapsed="false">
      <c r="B28" s="10" t="n">
        <v>20</v>
      </c>
      <c r="C28" s="8" t="n">
        <v>21</v>
      </c>
      <c r="D28" s="8" t="n">
        <v>22</v>
      </c>
      <c r="E28" s="8" t="n">
        <v>23</v>
      </c>
      <c r="F28" s="8" t="n">
        <v>24</v>
      </c>
      <c r="G28" s="8" t="n">
        <v>25</v>
      </c>
      <c r="H28" s="10" t="n">
        <v>26</v>
      </c>
      <c r="J28" s="10" t="n">
        <v>18</v>
      </c>
      <c r="K28" s="8" t="n">
        <v>19</v>
      </c>
      <c r="L28" s="8" t="n">
        <v>20</v>
      </c>
      <c r="M28" s="8" t="n">
        <v>21</v>
      </c>
      <c r="N28" s="8" t="n">
        <v>22</v>
      </c>
      <c r="O28" s="8" t="n">
        <v>23</v>
      </c>
      <c r="P28" s="10" t="n">
        <v>24</v>
      </c>
      <c r="R28" s="10" t="n">
        <v>22</v>
      </c>
      <c r="S28" s="8" t="n">
        <v>23</v>
      </c>
      <c r="T28" s="8" t="n">
        <v>24</v>
      </c>
      <c r="U28" s="8" t="n">
        <v>25</v>
      </c>
      <c r="V28" s="8" t="n">
        <v>26</v>
      </c>
      <c r="W28" s="8" t="n">
        <v>27</v>
      </c>
      <c r="X28" s="10" t="n">
        <v>28</v>
      </c>
      <c r="Z28" s="10" t="n">
        <v>20</v>
      </c>
      <c r="AA28" s="8" t="n">
        <v>21</v>
      </c>
      <c r="AB28" s="8" t="n">
        <v>22</v>
      </c>
      <c r="AC28" s="8" t="n">
        <v>23</v>
      </c>
      <c r="AD28" s="11" t="n">
        <v>24</v>
      </c>
      <c r="AE28" s="9" t="n">
        <v>25</v>
      </c>
      <c r="AF28" s="10" t="n">
        <v>26</v>
      </c>
    </row>
    <row r="29" customFormat="false" ht="15.75" hidden="false" customHeight="true" outlineLevel="0" collapsed="false">
      <c r="B29" s="10" t="n">
        <v>27</v>
      </c>
      <c r="C29" s="8" t="n">
        <v>28</v>
      </c>
      <c r="D29" s="8" t="n">
        <v>29</v>
      </c>
      <c r="E29" s="8" t="n">
        <v>30</v>
      </c>
      <c r="F29" s="8"/>
      <c r="G29" s="8"/>
      <c r="H29" s="8"/>
      <c r="J29" s="10" t="n">
        <v>25</v>
      </c>
      <c r="K29" s="8" t="n">
        <v>26</v>
      </c>
      <c r="L29" s="8" t="n">
        <v>27</v>
      </c>
      <c r="M29" s="8" t="n">
        <v>28</v>
      </c>
      <c r="N29" s="8" t="n">
        <v>29</v>
      </c>
      <c r="O29" s="8" t="n">
        <v>30</v>
      </c>
      <c r="P29" s="10" t="n">
        <v>31</v>
      </c>
      <c r="R29" s="10" t="n">
        <v>29</v>
      </c>
      <c r="S29" s="8" t="n">
        <v>30</v>
      </c>
      <c r="T29" s="8"/>
      <c r="U29" s="8"/>
      <c r="V29" s="8"/>
      <c r="W29" s="8"/>
      <c r="X29" s="8"/>
      <c r="Z29" s="10" t="n">
        <v>27</v>
      </c>
      <c r="AA29" s="8" t="n">
        <v>28</v>
      </c>
      <c r="AB29" s="8" t="n">
        <v>29</v>
      </c>
      <c r="AC29" s="8" t="n">
        <v>30</v>
      </c>
      <c r="AD29" s="8" t="n">
        <v>31</v>
      </c>
      <c r="AE29" s="8"/>
      <c r="AF29" s="8"/>
    </row>
    <row r="30" customFormat="false" ht="15.75" hidden="false" customHeight="true" outlineLevel="0" collapsed="false">
      <c r="B30" s="12"/>
      <c r="C30" s="12"/>
      <c r="D30" s="12"/>
      <c r="E30" s="12"/>
      <c r="F30" s="12"/>
      <c r="G30" s="12"/>
      <c r="H30" s="12"/>
      <c r="J30" s="12"/>
      <c r="K30" s="12"/>
      <c r="L30" s="12"/>
      <c r="M30" s="12"/>
      <c r="N30" s="12"/>
      <c r="O30" s="12"/>
      <c r="P30" s="12"/>
      <c r="R30" s="12"/>
      <c r="S30" s="12"/>
      <c r="T30" s="12"/>
      <c r="U30" s="12"/>
      <c r="V30" s="12"/>
      <c r="W30" s="12"/>
      <c r="X30" s="12"/>
      <c r="Z30" s="12"/>
      <c r="AA30" s="12"/>
      <c r="AB30" s="12"/>
      <c r="AC30" s="12"/>
      <c r="AD30" s="12"/>
      <c r="AE30" s="12"/>
      <c r="AF30" s="12"/>
    </row>
    <row r="31" customFormat="false" ht="15.75" hidden="false" customHeight="true" outlineLevel="0" collapsed="false"/>
    <row r="33" customFormat="false" ht="15" hidden="false" customHeight="false" outlineLevel="0" collapsed="false">
      <c r="B33" s="13" t="s">
        <v>33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 customFormat="false" ht="15" hidden="false" customHeight="false" outlineLevel="0" collapsed="false">
      <c r="B34" s="14" t="s">
        <v>34</v>
      </c>
      <c r="C34" s="15" t="s">
        <v>35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Q34" s="14" t="s">
        <v>36</v>
      </c>
      <c r="R34" s="15" t="s">
        <v>37</v>
      </c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customFormat="false" ht="15" hidden="false" customHeight="false" outlineLevel="0" collapsed="false">
      <c r="B35" s="14" t="s">
        <v>38</v>
      </c>
      <c r="C35" s="15" t="s">
        <v>39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Q35" s="14" t="s">
        <v>40</v>
      </c>
      <c r="R35" s="15" t="s">
        <v>41</v>
      </c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customFormat="false" ht="15" hidden="false" customHeight="false" outlineLevel="0" collapsed="false">
      <c r="B36" s="14" t="s">
        <v>42</v>
      </c>
      <c r="C36" s="15" t="s">
        <v>43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Q36" s="14" t="s">
        <v>44</v>
      </c>
      <c r="R36" s="15" t="s">
        <v>45</v>
      </c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customFormat="false" ht="15" hidden="false" customHeight="false" outlineLevel="0" collapsed="false">
      <c r="B37" s="14" t="s">
        <v>46</v>
      </c>
      <c r="C37" s="15" t="s">
        <v>47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Q37" s="14" t="s">
        <v>48</v>
      </c>
      <c r="R37" s="15" t="s">
        <v>49</v>
      </c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customFormat="false" ht="15" hidden="false" customHeight="false" outlineLevel="0" collapsed="false">
      <c r="B38" s="14" t="s">
        <v>50</v>
      </c>
      <c r="C38" s="15" t="s">
        <v>51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Q38" s="14" t="s">
        <v>52</v>
      </c>
      <c r="R38" s="15" t="s">
        <v>53</v>
      </c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customFormat="false" ht="15" hidden="false" customHeight="false" outlineLevel="0" collapsed="false">
      <c r="B39" s="14" t="s">
        <v>54</v>
      </c>
      <c r="C39" s="15" t="s">
        <v>55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Q39" s="14" t="s">
        <v>56</v>
      </c>
      <c r="R39" s="15" t="s">
        <v>57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customFormat="false" ht="15" hidden="false" customHeight="false" outlineLevel="0" collapsed="false">
      <c r="B40" s="14" t="s">
        <v>58</v>
      </c>
      <c r="C40" s="15" t="s">
        <v>59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Q40" s="14" t="s">
        <v>60</v>
      </c>
      <c r="R40" s="15" t="s">
        <v>61</v>
      </c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customFormat="false" ht="15" hidden="false" customHeight="false" outlineLevel="0" collapsed="false">
      <c r="B41" s="14" t="s">
        <v>62</v>
      </c>
      <c r="C41" s="15" t="s">
        <v>63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Q41" s="14" t="s">
        <v>64</v>
      </c>
      <c r="R41" s="15" t="s">
        <v>65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customFormat="false" ht="15" hidden="false" customHeight="false" outlineLevel="0" collapsed="false">
      <c r="B42" s="14" t="s">
        <v>66</v>
      </c>
      <c r="C42" s="15" t="s">
        <v>63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Q42" s="14" t="s">
        <v>67</v>
      </c>
      <c r="R42" s="15" t="s">
        <v>68</v>
      </c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customFormat="false" ht="15" hidden="false" customHeight="false" outlineLevel="0" collapsed="false">
      <c r="B43" s="14" t="s">
        <v>69</v>
      </c>
      <c r="C43" s="15" t="s">
        <v>59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Q43" s="14" t="s">
        <v>70</v>
      </c>
      <c r="R43" s="15" t="s">
        <v>71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customFormat="false" ht="15" hidden="false" customHeight="false" outlineLevel="0" collapsed="false">
      <c r="B44" s="14" t="s">
        <v>72</v>
      </c>
      <c r="C44" s="15" t="s">
        <v>59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Q44" s="14" t="s">
        <v>73</v>
      </c>
      <c r="R44" s="15" t="s">
        <v>74</v>
      </c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customFormat="false" ht="15" hidden="false" customHeight="false" outlineLevel="0" collapsed="false">
      <c r="B45" s="14" t="s">
        <v>75</v>
      </c>
      <c r="C45" s="15" t="s">
        <v>76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Q45" s="14" t="s">
        <v>77</v>
      </c>
      <c r="R45" s="15" t="s">
        <v>78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customFormat="false" ht="15" hidden="false" customHeight="false" outlineLevel="0" collapsed="false">
      <c r="B46" s="14" t="s">
        <v>79</v>
      </c>
      <c r="C46" s="15" t="s">
        <v>80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</row>
  </sheetData>
  <mergeCells count="40">
    <mergeCell ref="B2:AC2"/>
    <mergeCell ref="B3:AC3"/>
    <mergeCell ref="B5:H5"/>
    <mergeCell ref="J5:P5"/>
    <mergeCell ref="R5:X5"/>
    <mergeCell ref="Z5:AF5"/>
    <mergeCell ref="B14:H14"/>
    <mergeCell ref="J14:P14"/>
    <mergeCell ref="R14:X14"/>
    <mergeCell ref="Z14:AF14"/>
    <mergeCell ref="B23:H23"/>
    <mergeCell ref="J23:P23"/>
    <mergeCell ref="R23:X23"/>
    <mergeCell ref="Z23:AF23"/>
    <mergeCell ref="B33:AG33"/>
    <mergeCell ref="C34:M34"/>
    <mergeCell ref="R34:AB34"/>
    <mergeCell ref="C35:M35"/>
    <mergeCell ref="R35:AB35"/>
    <mergeCell ref="C36:M36"/>
    <mergeCell ref="R36:AB36"/>
    <mergeCell ref="C37:M37"/>
    <mergeCell ref="R37:AB37"/>
    <mergeCell ref="C38:M38"/>
    <mergeCell ref="R38:AB38"/>
    <mergeCell ref="C39:M39"/>
    <mergeCell ref="R39:AB39"/>
    <mergeCell ref="C40:M40"/>
    <mergeCell ref="R40:AB40"/>
    <mergeCell ref="C41:M41"/>
    <mergeCell ref="R41:AB41"/>
    <mergeCell ref="C42:M42"/>
    <mergeCell ref="R42:AB42"/>
    <mergeCell ref="C43:M43"/>
    <mergeCell ref="R43:AB43"/>
    <mergeCell ref="C44:M44"/>
    <mergeCell ref="R44:AB44"/>
    <mergeCell ref="C45:M45"/>
    <mergeCell ref="R45:AB45"/>
    <mergeCell ref="C46:M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38"/>
    <col collapsed="false" customWidth="true" hidden="false" outlineLevel="0" max="5" min="5" style="0" width="16"/>
    <col collapsed="false" customWidth="true" hidden="false" outlineLevel="0" max="6" min="6" style="0" width="14"/>
  </cols>
  <sheetData>
    <row r="2" customFormat="false" ht="19.7" hidden="false" customHeight="false" outlineLevel="0" collapsed="false">
      <c r="B2" s="1" t="s">
        <v>81</v>
      </c>
    </row>
    <row r="3" customFormat="false" ht="15" hidden="false" customHeight="false" outlineLevel="0" collapsed="false">
      <c r="B3" s="16" t="s">
        <v>82</v>
      </c>
      <c r="C3" s="16"/>
      <c r="D3" s="16"/>
      <c r="E3" s="16"/>
      <c r="F3" s="16"/>
    </row>
    <row r="5" customFormat="false" ht="15" hidden="false" customHeight="false" outlineLevel="0" collapsed="false">
      <c r="B5" s="17" t="s">
        <v>83</v>
      </c>
      <c r="C5" s="18" t="n">
        <v>46023</v>
      </c>
    </row>
    <row r="7" customFormat="false" ht="19.5" hidden="false" customHeight="true" outlineLevel="0" collapsed="false">
      <c r="B7" s="6" t="s">
        <v>84</v>
      </c>
      <c r="C7" s="6" t="s">
        <v>85</v>
      </c>
      <c r="D7" s="6" t="s">
        <v>86</v>
      </c>
      <c r="E7" s="6" t="s">
        <v>87</v>
      </c>
      <c r="F7" s="6" t="s">
        <v>88</v>
      </c>
      <c r="G7" s="6" t="s">
        <v>89</v>
      </c>
    </row>
    <row r="8" customFormat="false" ht="15" hidden="false" customHeight="false" outlineLevel="0" collapsed="false">
      <c r="B8" s="8" t="n">
        <v>1</v>
      </c>
      <c r="C8" s="19" t="n">
        <f aca="false">$C$5</f>
        <v>46023</v>
      </c>
      <c r="D8" s="20" t="str">
        <f aca="false">IF(MONTH(C8)&lt;&gt;MONTH($C$5),"",CHOOSE(WEEKDAY(C8,2),"Senin","Selasa","Rabu","Kamis","Jumat","Sabtu","Minggu"))</f>
        <v>Kamis</v>
      </c>
      <c r="E8" s="21"/>
      <c r="F8" s="21"/>
      <c r="G8" s="21"/>
    </row>
    <row r="9" customFormat="false" ht="15" hidden="false" customHeight="false" outlineLevel="0" collapsed="false">
      <c r="B9" s="8" t="n">
        <v>2</v>
      </c>
      <c r="C9" s="19" t="n">
        <f aca="false">C8+1</f>
        <v>46024</v>
      </c>
      <c r="D9" s="20" t="str">
        <f aca="false">IF(MONTH(C9)&lt;&gt;MONTH($C$5),"",CHOOSE(WEEKDAY(C9,2),"Senin","Selasa","Rabu","Kamis","Jumat","Sabtu","Minggu"))</f>
        <v>Jumat</v>
      </c>
      <c r="E9" s="21"/>
      <c r="F9" s="21"/>
      <c r="G9" s="21"/>
    </row>
    <row r="10" customFormat="false" ht="15" hidden="false" customHeight="false" outlineLevel="0" collapsed="false">
      <c r="B10" s="8" t="n">
        <v>3</v>
      </c>
      <c r="C10" s="19" t="n">
        <f aca="false">C9+1</f>
        <v>46025</v>
      </c>
      <c r="D10" s="20" t="str">
        <f aca="false">IF(MONTH(C10)&lt;&gt;MONTH($C$5),"",CHOOSE(WEEKDAY(C10,2),"Senin","Selasa","Rabu","Kamis","Jumat","Sabtu","Minggu"))</f>
        <v>Sabtu</v>
      </c>
      <c r="E10" s="21"/>
      <c r="F10" s="21"/>
      <c r="G10" s="21"/>
    </row>
    <row r="11" customFormat="false" ht="15" hidden="false" customHeight="false" outlineLevel="0" collapsed="false">
      <c r="B11" s="8" t="n">
        <v>4</v>
      </c>
      <c r="C11" s="19" t="n">
        <f aca="false">C10+1</f>
        <v>46026</v>
      </c>
      <c r="D11" s="20" t="str">
        <f aca="false">IF(MONTH(C11)&lt;&gt;MONTH($C$5),"",CHOOSE(WEEKDAY(C11,2),"Senin","Selasa","Rabu","Kamis","Jumat","Sabtu","Minggu"))</f>
        <v>Minggu</v>
      </c>
      <c r="E11" s="21"/>
      <c r="F11" s="21"/>
      <c r="G11" s="21"/>
    </row>
    <row r="12" customFormat="false" ht="15" hidden="false" customHeight="false" outlineLevel="0" collapsed="false">
      <c r="B12" s="8" t="n">
        <v>5</v>
      </c>
      <c r="C12" s="19" t="n">
        <f aca="false">C11+1</f>
        <v>46027</v>
      </c>
      <c r="D12" s="20" t="str">
        <f aca="false">IF(MONTH(C12)&lt;&gt;MONTH($C$5),"",CHOOSE(WEEKDAY(C12,2),"Senin","Selasa","Rabu","Kamis","Jumat","Sabtu","Minggu"))</f>
        <v>Senin</v>
      </c>
      <c r="E12" s="21"/>
      <c r="F12" s="21"/>
      <c r="G12" s="21"/>
    </row>
    <row r="13" customFormat="false" ht="15" hidden="false" customHeight="false" outlineLevel="0" collapsed="false">
      <c r="B13" s="8" t="n">
        <v>6</v>
      </c>
      <c r="C13" s="19" t="n">
        <f aca="false">C12+1</f>
        <v>46028</v>
      </c>
      <c r="D13" s="20" t="str">
        <f aca="false">IF(MONTH(C13)&lt;&gt;MONTH($C$5),"",CHOOSE(WEEKDAY(C13,2),"Senin","Selasa","Rabu","Kamis","Jumat","Sabtu","Minggu"))</f>
        <v>Selasa</v>
      </c>
      <c r="E13" s="21"/>
      <c r="F13" s="21"/>
      <c r="G13" s="21"/>
    </row>
    <row r="14" customFormat="false" ht="15" hidden="false" customHeight="false" outlineLevel="0" collapsed="false">
      <c r="B14" s="8" t="n">
        <v>7</v>
      </c>
      <c r="C14" s="19" t="n">
        <f aca="false">C13+1</f>
        <v>46029</v>
      </c>
      <c r="D14" s="20" t="str">
        <f aca="false">IF(MONTH(C14)&lt;&gt;MONTH($C$5),"",CHOOSE(WEEKDAY(C14,2),"Senin","Selasa","Rabu","Kamis","Jumat","Sabtu","Minggu"))</f>
        <v>Rabu</v>
      </c>
      <c r="E14" s="21"/>
      <c r="F14" s="21"/>
      <c r="G14" s="21"/>
    </row>
    <row r="15" customFormat="false" ht="15" hidden="false" customHeight="false" outlineLevel="0" collapsed="false">
      <c r="B15" s="8" t="n">
        <v>8</v>
      </c>
      <c r="C15" s="19" t="n">
        <f aca="false">C14+1</f>
        <v>46030</v>
      </c>
      <c r="D15" s="20" t="str">
        <f aca="false">IF(MONTH(C15)&lt;&gt;MONTH($C$5),"",CHOOSE(WEEKDAY(C15,2),"Senin","Selasa","Rabu","Kamis","Jumat","Sabtu","Minggu"))</f>
        <v>Kamis</v>
      </c>
      <c r="E15" s="21"/>
      <c r="F15" s="21"/>
      <c r="G15" s="21"/>
    </row>
    <row r="16" customFormat="false" ht="15" hidden="false" customHeight="false" outlineLevel="0" collapsed="false">
      <c r="B16" s="8" t="n">
        <v>9</v>
      </c>
      <c r="C16" s="19" t="n">
        <f aca="false">C15+1</f>
        <v>46031</v>
      </c>
      <c r="D16" s="20" t="str">
        <f aca="false">IF(MONTH(C16)&lt;&gt;MONTH($C$5),"",CHOOSE(WEEKDAY(C16,2),"Senin","Selasa","Rabu","Kamis","Jumat","Sabtu","Minggu"))</f>
        <v>Jumat</v>
      </c>
      <c r="E16" s="21"/>
      <c r="F16" s="21"/>
      <c r="G16" s="21"/>
    </row>
    <row r="17" customFormat="false" ht="15" hidden="false" customHeight="false" outlineLevel="0" collapsed="false">
      <c r="B17" s="8" t="n">
        <v>10</v>
      </c>
      <c r="C17" s="19" t="n">
        <f aca="false">C16+1</f>
        <v>46032</v>
      </c>
      <c r="D17" s="20" t="str">
        <f aca="false">IF(MONTH(C17)&lt;&gt;MONTH($C$5),"",CHOOSE(WEEKDAY(C17,2),"Senin","Selasa","Rabu","Kamis","Jumat","Sabtu","Minggu"))</f>
        <v>Sabtu</v>
      </c>
      <c r="E17" s="21"/>
      <c r="F17" s="21"/>
      <c r="G17" s="21"/>
    </row>
    <row r="18" customFormat="false" ht="15" hidden="false" customHeight="false" outlineLevel="0" collapsed="false">
      <c r="B18" s="8" t="n">
        <v>11</v>
      </c>
      <c r="C18" s="19" t="n">
        <f aca="false">C17+1</f>
        <v>46033</v>
      </c>
      <c r="D18" s="20" t="str">
        <f aca="false">IF(MONTH(C18)&lt;&gt;MONTH($C$5),"",CHOOSE(WEEKDAY(C18,2),"Senin","Selasa","Rabu","Kamis","Jumat","Sabtu","Minggu"))</f>
        <v>Minggu</v>
      </c>
      <c r="E18" s="21"/>
      <c r="F18" s="21"/>
      <c r="G18" s="21"/>
    </row>
    <row r="19" customFormat="false" ht="15" hidden="false" customHeight="false" outlineLevel="0" collapsed="false">
      <c r="B19" s="8" t="n">
        <v>12</v>
      </c>
      <c r="C19" s="19" t="n">
        <f aca="false">C18+1</f>
        <v>46034</v>
      </c>
      <c r="D19" s="20" t="str">
        <f aca="false">IF(MONTH(C19)&lt;&gt;MONTH($C$5),"",CHOOSE(WEEKDAY(C19,2),"Senin","Selasa","Rabu","Kamis","Jumat","Sabtu","Minggu"))</f>
        <v>Senin</v>
      </c>
      <c r="E19" s="21"/>
      <c r="F19" s="21"/>
      <c r="G19" s="21"/>
    </row>
    <row r="20" customFormat="false" ht="15" hidden="false" customHeight="false" outlineLevel="0" collapsed="false">
      <c r="B20" s="8" t="n">
        <v>13</v>
      </c>
      <c r="C20" s="19" t="n">
        <f aca="false">C19+1</f>
        <v>46035</v>
      </c>
      <c r="D20" s="20" t="str">
        <f aca="false">IF(MONTH(C20)&lt;&gt;MONTH($C$5),"",CHOOSE(WEEKDAY(C20,2),"Senin","Selasa","Rabu","Kamis","Jumat","Sabtu","Minggu"))</f>
        <v>Selasa</v>
      </c>
      <c r="E20" s="21"/>
      <c r="F20" s="21"/>
      <c r="G20" s="21"/>
    </row>
    <row r="21" customFormat="false" ht="15" hidden="false" customHeight="false" outlineLevel="0" collapsed="false">
      <c r="B21" s="8" t="n">
        <v>14</v>
      </c>
      <c r="C21" s="19" t="n">
        <f aca="false">C20+1</f>
        <v>46036</v>
      </c>
      <c r="D21" s="20" t="str">
        <f aca="false">IF(MONTH(C21)&lt;&gt;MONTH($C$5),"",CHOOSE(WEEKDAY(C21,2),"Senin","Selasa","Rabu","Kamis","Jumat","Sabtu","Minggu"))</f>
        <v>Rabu</v>
      </c>
      <c r="E21" s="21"/>
      <c r="F21" s="21"/>
      <c r="G21" s="21"/>
    </row>
    <row r="22" customFormat="false" ht="15" hidden="false" customHeight="false" outlineLevel="0" collapsed="false">
      <c r="B22" s="8" t="n">
        <v>15</v>
      </c>
      <c r="C22" s="19" t="n">
        <f aca="false">C21+1</f>
        <v>46037</v>
      </c>
      <c r="D22" s="20" t="str">
        <f aca="false">IF(MONTH(C22)&lt;&gt;MONTH($C$5),"",CHOOSE(WEEKDAY(C22,2),"Senin","Selasa","Rabu","Kamis","Jumat","Sabtu","Minggu"))</f>
        <v>Kamis</v>
      </c>
      <c r="E22" s="21"/>
      <c r="F22" s="21"/>
      <c r="G22" s="21"/>
    </row>
    <row r="23" customFormat="false" ht="15" hidden="false" customHeight="false" outlineLevel="0" collapsed="false">
      <c r="B23" s="8" t="n">
        <v>16</v>
      </c>
      <c r="C23" s="19" t="n">
        <f aca="false">C22+1</f>
        <v>46038</v>
      </c>
      <c r="D23" s="20" t="str">
        <f aca="false">IF(MONTH(C23)&lt;&gt;MONTH($C$5),"",CHOOSE(WEEKDAY(C23,2),"Senin","Selasa","Rabu","Kamis","Jumat","Sabtu","Minggu"))</f>
        <v>Jumat</v>
      </c>
      <c r="E23" s="21"/>
      <c r="F23" s="21"/>
      <c r="G23" s="21"/>
    </row>
    <row r="24" customFormat="false" ht="15" hidden="false" customHeight="false" outlineLevel="0" collapsed="false">
      <c r="B24" s="8" t="n">
        <v>17</v>
      </c>
      <c r="C24" s="19" t="n">
        <f aca="false">C23+1</f>
        <v>46039</v>
      </c>
      <c r="D24" s="20" t="str">
        <f aca="false">IF(MONTH(C24)&lt;&gt;MONTH($C$5),"",CHOOSE(WEEKDAY(C24,2),"Senin","Selasa","Rabu","Kamis","Jumat","Sabtu","Minggu"))</f>
        <v>Sabtu</v>
      </c>
      <c r="E24" s="21"/>
      <c r="F24" s="21"/>
      <c r="G24" s="21"/>
    </row>
    <row r="25" customFormat="false" ht="15" hidden="false" customHeight="false" outlineLevel="0" collapsed="false">
      <c r="B25" s="8" t="n">
        <v>18</v>
      </c>
      <c r="C25" s="19" t="n">
        <f aca="false">C24+1</f>
        <v>46040</v>
      </c>
      <c r="D25" s="20" t="str">
        <f aca="false">IF(MONTH(C25)&lt;&gt;MONTH($C$5),"",CHOOSE(WEEKDAY(C25,2),"Senin","Selasa","Rabu","Kamis","Jumat","Sabtu","Minggu"))</f>
        <v>Minggu</v>
      </c>
      <c r="E25" s="21"/>
      <c r="F25" s="21"/>
      <c r="G25" s="21"/>
    </row>
    <row r="26" customFormat="false" ht="15" hidden="false" customHeight="false" outlineLevel="0" collapsed="false">
      <c r="B26" s="8" t="n">
        <v>19</v>
      </c>
      <c r="C26" s="19" t="n">
        <f aca="false">C25+1</f>
        <v>46041</v>
      </c>
      <c r="D26" s="20" t="str">
        <f aca="false">IF(MONTH(C26)&lt;&gt;MONTH($C$5),"",CHOOSE(WEEKDAY(C26,2),"Senin","Selasa","Rabu","Kamis","Jumat","Sabtu","Minggu"))</f>
        <v>Senin</v>
      </c>
      <c r="E26" s="21"/>
      <c r="F26" s="21"/>
      <c r="G26" s="21"/>
    </row>
    <row r="27" customFormat="false" ht="15" hidden="false" customHeight="false" outlineLevel="0" collapsed="false">
      <c r="B27" s="8" t="n">
        <v>20</v>
      </c>
      <c r="C27" s="19" t="n">
        <f aca="false">C26+1</f>
        <v>46042</v>
      </c>
      <c r="D27" s="20" t="str">
        <f aca="false">IF(MONTH(C27)&lt;&gt;MONTH($C$5),"",CHOOSE(WEEKDAY(C27,2),"Senin","Selasa","Rabu","Kamis","Jumat","Sabtu","Minggu"))</f>
        <v>Selasa</v>
      </c>
      <c r="E27" s="21"/>
      <c r="F27" s="21"/>
      <c r="G27" s="21"/>
    </row>
    <row r="28" customFormat="false" ht="15" hidden="false" customHeight="false" outlineLevel="0" collapsed="false">
      <c r="B28" s="8" t="n">
        <v>21</v>
      </c>
      <c r="C28" s="19" t="n">
        <f aca="false">C27+1</f>
        <v>46043</v>
      </c>
      <c r="D28" s="20" t="str">
        <f aca="false">IF(MONTH(C28)&lt;&gt;MONTH($C$5),"",CHOOSE(WEEKDAY(C28,2),"Senin","Selasa","Rabu","Kamis","Jumat","Sabtu","Minggu"))</f>
        <v>Rabu</v>
      </c>
      <c r="E28" s="21"/>
      <c r="F28" s="21"/>
      <c r="G28" s="21"/>
    </row>
    <row r="29" customFormat="false" ht="15" hidden="false" customHeight="false" outlineLevel="0" collapsed="false">
      <c r="B29" s="8" t="n">
        <v>22</v>
      </c>
      <c r="C29" s="19" t="n">
        <f aca="false">C28+1</f>
        <v>46044</v>
      </c>
      <c r="D29" s="20" t="str">
        <f aca="false">IF(MONTH(C29)&lt;&gt;MONTH($C$5),"",CHOOSE(WEEKDAY(C29,2),"Senin","Selasa","Rabu","Kamis","Jumat","Sabtu","Minggu"))</f>
        <v>Kamis</v>
      </c>
      <c r="E29" s="21"/>
      <c r="F29" s="21"/>
      <c r="G29" s="21"/>
    </row>
    <row r="30" customFormat="false" ht="15" hidden="false" customHeight="false" outlineLevel="0" collapsed="false">
      <c r="B30" s="8" t="n">
        <v>23</v>
      </c>
      <c r="C30" s="19" t="n">
        <f aca="false">C29+1</f>
        <v>46045</v>
      </c>
      <c r="D30" s="20" t="str">
        <f aca="false">IF(MONTH(C30)&lt;&gt;MONTH($C$5),"",CHOOSE(WEEKDAY(C30,2),"Senin","Selasa","Rabu","Kamis","Jumat","Sabtu","Minggu"))</f>
        <v>Jumat</v>
      </c>
      <c r="E30" s="21"/>
      <c r="F30" s="21"/>
      <c r="G30" s="21"/>
    </row>
    <row r="31" customFormat="false" ht="15" hidden="false" customHeight="false" outlineLevel="0" collapsed="false">
      <c r="B31" s="8" t="n">
        <v>24</v>
      </c>
      <c r="C31" s="19" t="n">
        <f aca="false">C30+1</f>
        <v>46046</v>
      </c>
      <c r="D31" s="20" t="str">
        <f aca="false">IF(MONTH(C31)&lt;&gt;MONTH($C$5),"",CHOOSE(WEEKDAY(C31,2),"Senin","Selasa","Rabu","Kamis","Jumat","Sabtu","Minggu"))</f>
        <v>Sabtu</v>
      </c>
      <c r="E31" s="21"/>
      <c r="F31" s="21"/>
      <c r="G31" s="21"/>
    </row>
    <row r="32" customFormat="false" ht="15" hidden="false" customHeight="false" outlineLevel="0" collapsed="false">
      <c r="B32" s="8" t="n">
        <v>25</v>
      </c>
      <c r="C32" s="19" t="n">
        <f aca="false">C31+1</f>
        <v>46047</v>
      </c>
      <c r="D32" s="20" t="str">
        <f aca="false">IF(MONTH(C32)&lt;&gt;MONTH($C$5),"",CHOOSE(WEEKDAY(C32,2),"Senin","Selasa","Rabu","Kamis","Jumat","Sabtu","Minggu"))</f>
        <v>Minggu</v>
      </c>
      <c r="E32" s="21"/>
      <c r="F32" s="21"/>
      <c r="G32" s="21"/>
    </row>
    <row r="33" customFormat="false" ht="15" hidden="false" customHeight="false" outlineLevel="0" collapsed="false">
      <c r="B33" s="8" t="n">
        <v>26</v>
      </c>
      <c r="C33" s="19" t="n">
        <f aca="false">C32+1</f>
        <v>46048</v>
      </c>
      <c r="D33" s="20" t="str">
        <f aca="false">IF(MONTH(C33)&lt;&gt;MONTH($C$5),"",CHOOSE(WEEKDAY(C33,2),"Senin","Selasa","Rabu","Kamis","Jumat","Sabtu","Minggu"))</f>
        <v>Senin</v>
      </c>
      <c r="E33" s="21"/>
      <c r="F33" s="21"/>
      <c r="G33" s="21"/>
    </row>
    <row r="34" customFormat="false" ht="15" hidden="false" customHeight="false" outlineLevel="0" collapsed="false">
      <c r="B34" s="8" t="n">
        <v>27</v>
      </c>
      <c r="C34" s="19" t="n">
        <f aca="false">C33+1</f>
        <v>46049</v>
      </c>
      <c r="D34" s="20" t="str">
        <f aca="false">IF(MONTH(C34)&lt;&gt;MONTH($C$5),"",CHOOSE(WEEKDAY(C34,2),"Senin","Selasa","Rabu","Kamis","Jumat","Sabtu","Minggu"))</f>
        <v>Selasa</v>
      </c>
      <c r="E34" s="21"/>
      <c r="F34" s="21"/>
      <c r="G34" s="21"/>
    </row>
    <row r="35" customFormat="false" ht="15" hidden="false" customHeight="false" outlineLevel="0" collapsed="false">
      <c r="B35" s="8" t="n">
        <v>28</v>
      </c>
      <c r="C35" s="19" t="n">
        <f aca="false">C34+1</f>
        <v>46050</v>
      </c>
      <c r="D35" s="20" t="str">
        <f aca="false">IF(MONTH(C35)&lt;&gt;MONTH($C$5),"",CHOOSE(WEEKDAY(C35,2),"Senin","Selasa","Rabu","Kamis","Jumat","Sabtu","Minggu"))</f>
        <v>Rabu</v>
      </c>
      <c r="E35" s="21"/>
      <c r="F35" s="21"/>
      <c r="G35" s="21"/>
    </row>
    <row r="36" customFormat="false" ht="15" hidden="false" customHeight="false" outlineLevel="0" collapsed="false">
      <c r="B36" s="8" t="n">
        <v>29</v>
      </c>
      <c r="C36" s="19" t="n">
        <f aca="false">C35+1</f>
        <v>46051</v>
      </c>
      <c r="D36" s="20" t="str">
        <f aca="false">IF(MONTH(C36)&lt;&gt;MONTH($C$5),"",CHOOSE(WEEKDAY(C36,2),"Senin","Selasa","Rabu","Kamis","Jumat","Sabtu","Minggu"))</f>
        <v>Kamis</v>
      </c>
      <c r="E36" s="21"/>
      <c r="F36" s="21"/>
      <c r="G36" s="21"/>
    </row>
    <row r="37" customFormat="false" ht="15" hidden="false" customHeight="false" outlineLevel="0" collapsed="false">
      <c r="B37" s="8" t="n">
        <v>30</v>
      </c>
      <c r="C37" s="19" t="n">
        <f aca="false">C36+1</f>
        <v>46052</v>
      </c>
      <c r="D37" s="20" t="str">
        <f aca="false">IF(MONTH(C37)&lt;&gt;MONTH($C$5),"",CHOOSE(WEEKDAY(C37,2),"Senin","Selasa","Rabu","Kamis","Jumat","Sabtu","Minggu"))</f>
        <v>Jumat</v>
      </c>
      <c r="E37" s="21"/>
      <c r="F37" s="21"/>
      <c r="G37" s="21"/>
    </row>
    <row r="38" customFormat="false" ht="15" hidden="false" customHeight="false" outlineLevel="0" collapsed="false">
      <c r="B38" s="8" t="n">
        <v>31</v>
      </c>
      <c r="C38" s="19" t="n">
        <f aca="false">C37+1</f>
        <v>46053</v>
      </c>
      <c r="D38" s="20" t="str">
        <f aca="false">IF(MONTH(C38)&lt;&gt;MONTH($C$5),"",CHOOSE(WEEKDAY(C38,2),"Senin","Selasa","Rabu","Kamis","Jumat","Sabtu","Minggu"))</f>
        <v>Sabtu</v>
      </c>
      <c r="E38" s="21"/>
      <c r="F38" s="21"/>
      <c r="G38" s="21"/>
    </row>
  </sheetData>
  <mergeCells count="1">
    <mergeCell ref="B3:F3"/>
  </mergeCells>
  <conditionalFormatting sqref="G8:G38">
    <cfRule type="cellIs" priority="2" operator="equal" aboveAverage="0" equalAverage="0" bottom="0" percent="0" rank="0" text="" dxfId="0">
      <formula>"Selesai"</formula>
    </cfRule>
    <cfRule type="cellIs" priority="3" operator="equal" aboveAverage="0" equalAverage="0" bottom="0" percent="0" rank="0" text="" dxfId="1">
      <formula>"Proses"</formula>
    </cfRule>
    <cfRule type="cellIs" priority="4" operator="equal" aboveAverage="0" equalAverage="0" bottom="0" percent="0" rank="0" text="" dxfId="2">
      <formula>"Belum"</formula>
    </cfRule>
  </conditionalFormatting>
  <conditionalFormatting sqref="B8:G38">
    <cfRule type="expression" priority="5" aboveAverage="0" equalAverage="0" bottom="0" percent="0" rank="0" text="" dxfId="3">
      <formula>OR($D8="Sabtu",$D8="Minggu")</formula>
    </cfRule>
  </conditionalFormatting>
  <dataValidations count="2">
    <dataValidation allowBlank="true" errorStyle="stop" operator="between" showDropDown="false" showErrorMessage="false" showInputMessage="false" sqref="F8:F38" type="list">
      <formula1>"Kerja,Sekolah,Konten,Pribadi,Lainnya"</formula1>
      <formula2>0</formula2>
    </dataValidation>
    <dataValidation allowBlank="true" errorStyle="stop" operator="between" showDropDown="false" showErrorMessage="false" showInputMessage="false" sqref="G8:G38" type="list">
      <formula1>"Belum,Proses,Selesai"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9" min="3" style="0" width="20"/>
  </cols>
  <sheetData>
    <row r="2" customFormat="false" ht="19.7" hidden="false" customHeight="false" outlineLevel="0" collapsed="false">
      <c r="B2" s="1" t="s">
        <v>90</v>
      </c>
    </row>
    <row r="3" customFormat="false" ht="15" hidden="false" customHeight="false" outlineLevel="0" collapsed="false">
      <c r="B3" s="16" t="s">
        <v>91</v>
      </c>
      <c r="C3" s="16"/>
      <c r="D3" s="16"/>
      <c r="E3" s="16"/>
      <c r="F3" s="16"/>
      <c r="G3" s="16"/>
      <c r="H3" s="16"/>
    </row>
    <row r="5" customFormat="false" ht="15" hidden="false" customHeight="false" outlineLevel="0" collapsed="false">
      <c r="B5" s="22" t="s">
        <v>92</v>
      </c>
      <c r="C5" s="22"/>
      <c r="D5" s="18" t="n">
        <v>46027</v>
      </c>
    </row>
    <row r="7" customFormat="false" ht="15" hidden="false" customHeight="false" outlineLevel="0" collapsed="false">
      <c r="B7" s="6" t="s">
        <v>93</v>
      </c>
      <c r="C7" s="6" t="s">
        <v>94</v>
      </c>
      <c r="D7" s="6" t="s">
        <v>95</v>
      </c>
      <c r="E7" s="6" t="s">
        <v>96</v>
      </c>
      <c r="F7" s="6" t="s">
        <v>97</v>
      </c>
      <c r="G7" s="6" t="s">
        <v>98</v>
      </c>
      <c r="H7" s="6" t="s">
        <v>99</v>
      </c>
      <c r="I7" s="6" t="s">
        <v>100</v>
      </c>
    </row>
    <row r="8" customFormat="false" ht="15" hidden="false" customHeight="false" outlineLevel="0" collapsed="false">
      <c r="B8" s="7" t="s">
        <v>101</v>
      </c>
      <c r="C8" s="23" t="n">
        <f aca="false">$D$5+0</f>
        <v>46027</v>
      </c>
      <c r="D8" s="23" t="n">
        <f aca="false">$D$5+1</f>
        <v>46028</v>
      </c>
      <c r="E8" s="23" t="n">
        <f aca="false">$D$5+2</f>
        <v>46029</v>
      </c>
      <c r="F8" s="23" t="n">
        <f aca="false">$D$5+3</f>
        <v>46030</v>
      </c>
      <c r="G8" s="23" t="n">
        <f aca="false">$D$5+4</f>
        <v>46031</v>
      </c>
      <c r="H8" s="23" t="n">
        <f aca="false">$D$5+5</f>
        <v>46032</v>
      </c>
      <c r="I8" s="23" t="n">
        <f aca="false">$D$5+6</f>
        <v>46033</v>
      </c>
    </row>
    <row r="9" customFormat="false" ht="33.75" hidden="false" customHeight="true" outlineLevel="0" collapsed="false">
      <c r="B9" s="24" t="s">
        <v>102</v>
      </c>
      <c r="C9" s="21"/>
      <c r="D9" s="21"/>
      <c r="E9" s="21"/>
      <c r="F9" s="21"/>
      <c r="G9" s="21"/>
      <c r="H9" s="21"/>
      <c r="I9" s="21"/>
    </row>
    <row r="10" customFormat="false" ht="33.75" hidden="false" customHeight="true" outlineLevel="0" collapsed="false">
      <c r="B10" s="24" t="s">
        <v>103</v>
      </c>
      <c r="C10" s="21"/>
      <c r="D10" s="21"/>
      <c r="E10" s="21"/>
      <c r="F10" s="21"/>
      <c r="G10" s="21"/>
      <c r="H10" s="21"/>
      <c r="I10" s="21"/>
    </row>
    <row r="11" customFormat="false" ht="33.75" hidden="false" customHeight="true" outlineLevel="0" collapsed="false">
      <c r="B11" s="24" t="s">
        <v>104</v>
      </c>
      <c r="C11" s="21"/>
      <c r="D11" s="21"/>
      <c r="E11" s="21"/>
      <c r="F11" s="21"/>
      <c r="G11" s="21"/>
      <c r="H11" s="21"/>
      <c r="I11" s="21"/>
    </row>
    <row r="12" customFormat="false" ht="33.75" hidden="false" customHeight="true" outlineLevel="0" collapsed="false">
      <c r="B12" s="24" t="s">
        <v>105</v>
      </c>
      <c r="C12" s="21"/>
      <c r="D12" s="21"/>
      <c r="E12" s="21"/>
      <c r="F12" s="21"/>
      <c r="G12" s="21"/>
      <c r="H12" s="21"/>
      <c r="I12" s="21"/>
    </row>
    <row r="14" customFormat="false" ht="15" hidden="false" customHeight="false" outlineLevel="0" collapsed="false">
      <c r="B14" s="22" t="s">
        <v>106</v>
      </c>
      <c r="C14" s="22"/>
    </row>
    <row r="15" customFormat="false" ht="15" hidden="false" customHeight="false" outlineLevel="0" collapsed="false">
      <c r="B15" s="25" t="s">
        <v>107</v>
      </c>
      <c r="C15" s="12"/>
      <c r="D15" s="12"/>
      <c r="E15" s="12"/>
    </row>
    <row r="16" customFormat="false" ht="15" hidden="false" customHeight="false" outlineLevel="0" collapsed="false">
      <c r="B16" s="25" t="s">
        <v>108</v>
      </c>
      <c r="C16" s="12"/>
      <c r="D16" s="12"/>
      <c r="E16" s="12"/>
    </row>
    <row r="17" customFormat="false" ht="15" hidden="false" customHeight="false" outlineLevel="0" collapsed="false">
      <c r="B17" s="25" t="s">
        <v>109</v>
      </c>
      <c r="C17" s="12"/>
      <c r="D17" s="12"/>
      <c r="E17" s="12"/>
    </row>
    <row r="19" customFormat="false" ht="15" hidden="false" customHeight="false" outlineLevel="0" collapsed="false">
      <c r="B19" s="22" t="s">
        <v>110</v>
      </c>
      <c r="C19" s="22"/>
    </row>
    <row r="20" customFormat="false" ht="15" hidden="false" customHeight="false" outlineLevel="0" collapsed="false">
      <c r="B20" s="26"/>
      <c r="C20" s="26"/>
      <c r="D20" s="26"/>
      <c r="E20" s="26"/>
      <c r="F20" s="26"/>
      <c r="G20" s="26"/>
      <c r="H20" s="26"/>
      <c r="I20" s="26"/>
    </row>
    <row r="21" customFormat="false" ht="15" hidden="false" customHeight="false" outlineLevel="0" collapsed="false">
      <c r="B21" s="26"/>
      <c r="C21" s="26"/>
      <c r="D21" s="26"/>
      <c r="E21" s="26"/>
      <c r="F21" s="26"/>
      <c r="G21" s="26"/>
      <c r="H21" s="26"/>
      <c r="I21" s="26"/>
    </row>
    <row r="22" customFormat="false" ht="15" hidden="false" customHeight="false" outlineLevel="0" collapsed="false">
      <c r="B22" s="26"/>
      <c r="C22" s="26"/>
      <c r="D22" s="26"/>
      <c r="E22" s="26"/>
      <c r="F22" s="26"/>
      <c r="G22" s="26"/>
      <c r="H22" s="26"/>
      <c r="I22" s="26"/>
    </row>
  </sheetData>
  <mergeCells count="8">
    <mergeCell ref="B3:H3"/>
    <mergeCell ref="B5:C5"/>
    <mergeCell ref="B14:C14"/>
    <mergeCell ref="C15:E15"/>
    <mergeCell ref="C16:E16"/>
    <mergeCell ref="C17:E17"/>
    <mergeCell ref="B19:C19"/>
    <mergeCell ref="B20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7" min="5" style="0" width="14"/>
  </cols>
  <sheetData>
    <row r="2" customFormat="false" ht="19.7" hidden="false" customHeight="false" outlineLevel="0" collapsed="false">
      <c r="B2" s="1" t="s">
        <v>111</v>
      </c>
    </row>
    <row r="3" customFormat="false" ht="15" hidden="false" customHeight="false" outlineLevel="0" collapsed="false">
      <c r="B3" s="16" t="s">
        <v>112</v>
      </c>
      <c r="C3" s="16"/>
      <c r="D3" s="16"/>
      <c r="E3" s="16"/>
      <c r="F3" s="16"/>
      <c r="G3" s="16"/>
    </row>
    <row r="5" customFormat="false" ht="15" hidden="false" customHeight="false" outlineLevel="0" collapsed="false">
      <c r="B5" s="27" t="s">
        <v>85</v>
      </c>
      <c r="C5" s="27" t="s">
        <v>86</v>
      </c>
      <c r="D5" s="27" t="s">
        <v>113</v>
      </c>
      <c r="E5" s="27" t="s">
        <v>88</v>
      </c>
      <c r="F5" s="27" t="s">
        <v>114</v>
      </c>
      <c r="G5" s="27" t="s">
        <v>89</v>
      </c>
    </row>
    <row r="6" customFormat="false" ht="15" hidden="false" customHeight="false" outlineLevel="0" collapsed="false">
      <c r="B6" s="28"/>
      <c r="C6" s="29" t="str">
        <f aca="false">IFERROR(CHOOSE(WEEKDAY(B6,2),"Senin","Selasa","Rabu","Kamis","Jumat","Sabtu","Minggu"),"")</f>
        <v>Sabtu</v>
      </c>
    </row>
    <row r="7" customFormat="false" ht="15" hidden="false" customHeight="false" outlineLevel="0" collapsed="false">
      <c r="B7" s="28"/>
      <c r="C7" s="29" t="str">
        <f aca="false">IFERROR(CHOOSE(WEEKDAY(B7,2),"Senin","Selasa","Rabu","Kamis","Jumat","Sabtu","Minggu"),"")</f>
        <v>Sabtu</v>
      </c>
    </row>
    <row r="8" customFormat="false" ht="15" hidden="false" customHeight="false" outlineLevel="0" collapsed="false">
      <c r="B8" s="28"/>
      <c r="C8" s="29" t="str">
        <f aca="false">IFERROR(CHOOSE(WEEKDAY(B8,2),"Senin","Selasa","Rabu","Kamis","Jumat","Sabtu","Minggu"),"")</f>
        <v>Sabtu</v>
      </c>
    </row>
    <row r="9" customFormat="false" ht="15" hidden="false" customHeight="false" outlineLevel="0" collapsed="false">
      <c r="B9" s="28"/>
      <c r="C9" s="29" t="str">
        <f aca="false">IFERROR(CHOOSE(WEEKDAY(B9,2),"Senin","Selasa","Rabu","Kamis","Jumat","Sabtu","Minggu"),"")</f>
        <v>Sabtu</v>
      </c>
    </row>
    <row r="10" customFormat="false" ht="15" hidden="false" customHeight="false" outlineLevel="0" collapsed="false">
      <c r="B10" s="28"/>
      <c r="C10" s="29" t="str">
        <f aca="false">IFERROR(CHOOSE(WEEKDAY(B10,2),"Senin","Selasa","Rabu","Kamis","Jumat","Sabtu","Minggu"),"")</f>
        <v>Sabtu</v>
      </c>
    </row>
    <row r="11" customFormat="false" ht="15" hidden="false" customHeight="false" outlineLevel="0" collapsed="false">
      <c r="B11" s="28"/>
      <c r="C11" s="29" t="str">
        <f aca="false">IFERROR(CHOOSE(WEEKDAY(B11,2),"Senin","Selasa","Rabu","Kamis","Jumat","Sabtu","Minggu"),"")</f>
        <v>Sabtu</v>
      </c>
    </row>
    <row r="12" customFormat="false" ht="15" hidden="false" customHeight="false" outlineLevel="0" collapsed="false">
      <c r="B12" s="28"/>
      <c r="C12" s="29" t="str">
        <f aca="false">IFERROR(CHOOSE(WEEKDAY(B12,2),"Senin","Selasa","Rabu","Kamis","Jumat","Sabtu","Minggu"),"")</f>
        <v>Sabtu</v>
      </c>
    </row>
    <row r="13" customFormat="false" ht="15" hidden="false" customHeight="false" outlineLevel="0" collapsed="false">
      <c r="B13" s="28"/>
      <c r="C13" s="29" t="str">
        <f aca="false">IFERROR(CHOOSE(WEEKDAY(B13,2),"Senin","Selasa","Rabu","Kamis","Jumat","Sabtu","Minggu"),"")</f>
        <v>Sabtu</v>
      </c>
    </row>
    <row r="14" customFormat="false" ht="15" hidden="false" customHeight="false" outlineLevel="0" collapsed="false">
      <c r="B14" s="28"/>
      <c r="C14" s="29" t="str">
        <f aca="false">IFERROR(CHOOSE(WEEKDAY(B14,2),"Senin","Selasa","Rabu","Kamis","Jumat","Sabtu","Minggu"),"")</f>
        <v>Sabtu</v>
      </c>
    </row>
    <row r="15" customFormat="false" ht="15" hidden="false" customHeight="false" outlineLevel="0" collapsed="false">
      <c r="B15" s="28"/>
      <c r="C15" s="29" t="str">
        <f aca="false">IFERROR(CHOOSE(WEEKDAY(B15,2),"Senin","Selasa","Rabu","Kamis","Jumat","Sabtu","Minggu"),"")</f>
        <v>Sabtu</v>
      </c>
    </row>
    <row r="16" customFormat="false" ht="15" hidden="false" customHeight="false" outlineLevel="0" collapsed="false">
      <c r="B16" s="28"/>
      <c r="C16" s="29" t="str">
        <f aca="false">IFERROR(CHOOSE(WEEKDAY(B16,2),"Senin","Selasa","Rabu","Kamis","Jumat","Sabtu","Minggu"),"")</f>
        <v>Sabtu</v>
      </c>
    </row>
    <row r="17" customFormat="false" ht="15" hidden="false" customHeight="false" outlineLevel="0" collapsed="false">
      <c r="B17" s="28"/>
      <c r="C17" s="29" t="str">
        <f aca="false">IFERROR(CHOOSE(WEEKDAY(B17,2),"Senin","Selasa","Rabu","Kamis","Jumat","Sabtu","Minggu"),"")</f>
        <v>Sabtu</v>
      </c>
    </row>
    <row r="18" customFormat="false" ht="15" hidden="false" customHeight="false" outlineLevel="0" collapsed="false">
      <c r="B18" s="28"/>
      <c r="C18" s="29" t="str">
        <f aca="false">IFERROR(CHOOSE(WEEKDAY(B18,2),"Senin","Selasa","Rabu","Kamis","Jumat","Sabtu","Minggu"),"")</f>
        <v>Sabtu</v>
      </c>
    </row>
    <row r="19" customFormat="false" ht="15" hidden="false" customHeight="false" outlineLevel="0" collapsed="false">
      <c r="B19" s="28"/>
      <c r="C19" s="29" t="str">
        <f aca="false">IFERROR(CHOOSE(WEEKDAY(B19,2),"Senin","Selasa","Rabu","Kamis","Jumat","Sabtu","Minggu"),"")</f>
        <v>Sabtu</v>
      </c>
    </row>
    <row r="20" customFormat="false" ht="15" hidden="false" customHeight="false" outlineLevel="0" collapsed="false">
      <c r="B20" s="28"/>
      <c r="C20" s="29" t="str">
        <f aca="false">IFERROR(CHOOSE(WEEKDAY(B20,2),"Senin","Selasa","Rabu","Kamis","Jumat","Sabtu","Minggu"),"")</f>
        <v>Sabtu</v>
      </c>
    </row>
    <row r="21" customFormat="false" ht="15" hidden="false" customHeight="false" outlineLevel="0" collapsed="false">
      <c r="B21" s="28"/>
      <c r="C21" s="29" t="str">
        <f aca="false">IFERROR(CHOOSE(WEEKDAY(B21,2),"Senin","Selasa","Rabu","Kamis","Jumat","Sabtu","Minggu"),"")</f>
        <v>Sabtu</v>
      </c>
    </row>
    <row r="22" customFormat="false" ht="15" hidden="false" customHeight="false" outlineLevel="0" collapsed="false">
      <c r="B22" s="28"/>
      <c r="C22" s="29" t="str">
        <f aca="false">IFERROR(CHOOSE(WEEKDAY(B22,2),"Senin","Selasa","Rabu","Kamis","Jumat","Sabtu","Minggu"),"")</f>
        <v>Sabtu</v>
      </c>
    </row>
    <row r="23" customFormat="false" ht="15" hidden="false" customHeight="false" outlineLevel="0" collapsed="false">
      <c r="B23" s="28"/>
      <c r="C23" s="29" t="str">
        <f aca="false">IFERROR(CHOOSE(WEEKDAY(B23,2),"Senin","Selasa","Rabu","Kamis","Jumat","Sabtu","Minggu"),"")</f>
        <v>Sabtu</v>
      </c>
    </row>
    <row r="24" customFormat="false" ht="15" hidden="false" customHeight="false" outlineLevel="0" collapsed="false">
      <c r="B24" s="28"/>
      <c r="C24" s="29" t="str">
        <f aca="false">IFERROR(CHOOSE(WEEKDAY(B24,2),"Senin","Selasa","Rabu","Kamis","Jumat","Sabtu","Minggu"),"")</f>
        <v>Sabtu</v>
      </c>
    </row>
    <row r="25" customFormat="false" ht="15" hidden="false" customHeight="false" outlineLevel="0" collapsed="false">
      <c r="B25" s="28"/>
      <c r="C25" s="29" t="str">
        <f aca="false">IFERROR(CHOOSE(WEEKDAY(B25,2),"Senin","Selasa","Rabu","Kamis","Jumat","Sabtu","Minggu"),"")</f>
        <v>Sabtu</v>
      </c>
    </row>
    <row r="26" customFormat="false" ht="15" hidden="false" customHeight="false" outlineLevel="0" collapsed="false">
      <c r="B26" s="28"/>
      <c r="C26" s="29" t="str">
        <f aca="false">IFERROR(CHOOSE(WEEKDAY(B26,2),"Senin","Selasa","Rabu","Kamis","Jumat","Sabtu","Minggu"),"")</f>
        <v>Sabtu</v>
      </c>
    </row>
    <row r="27" customFormat="false" ht="15" hidden="false" customHeight="false" outlineLevel="0" collapsed="false">
      <c r="B27" s="28"/>
      <c r="C27" s="29" t="str">
        <f aca="false">IFERROR(CHOOSE(WEEKDAY(B27,2),"Senin","Selasa","Rabu","Kamis","Jumat","Sabtu","Minggu"),"")</f>
        <v>Sabtu</v>
      </c>
    </row>
    <row r="28" customFormat="false" ht="15" hidden="false" customHeight="false" outlineLevel="0" collapsed="false">
      <c r="B28" s="28"/>
      <c r="C28" s="29" t="str">
        <f aca="false">IFERROR(CHOOSE(WEEKDAY(B28,2),"Senin","Selasa","Rabu","Kamis","Jumat","Sabtu","Minggu"),"")</f>
        <v>Sabtu</v>
      </c>
    </row>
    <row r="29" customFormat="false" ht="15" hidden="false" customHeight="false" outlineLevel="0" collapsed="false">
      <c r="B29" s="28"/>
      <c r="C29" s="29" t="str">
        <f aca="false">IFERROR(CHOOSE(WEEKDAY(B29,2),"Senin","Selasa","Rabu","Kamis","Jumat","Sabtu","Minggu"),"")</f>
        <v>Sabtu</v>
      </c>
    </row>
    <row r="30" customFormat="false" ht="15" hidden="false" customHeight="false" outlineLevel="0" collapsed="false">
      <c r="B30" s="28"/>
      <c r="C30" s="29" t="str">
        <f aca="false">IFERROR(CHOOSE(WEEKDAY(B30,2),"Senin","Selasa","Rabu","Kamis","Jumat","Sabtu","Minggu"),"")</f>
        <v>Sabtu</v>
      </c>
    </row>
    <row r="31" customFormat="false" ht="15" hidden="false" customHeight="false" outlineLevel="0" collapsed="false">
      <c r="B31" s="28"/>
      <c r="C31" s="29" t="str">
        <f aca="false">IFERROR(CHOOSE(WEEKDAY(B31,2),"Senin","Selasa","Rabu","Kamis","Jumat","Sabtu","Minggu"),"")</f>
        <v>Sabtu</v>
      </c>
    </row>
    <row r="32" customFormat="false" ht="15" hidden="false" customHeight="false" outlineLevel="0" collapsed="false">
      <c r="B32" s="28"/>
      <c r="C32" s="29" t="str">
        <f aca="false">IFERROR(CHOOSE(WEEKDAY(B32,2),"Senin","Selasa","Rabu","Kamis","Jumat","Sabtu","Minggu"),"")</f>
        <v>Sabtu</v>
      </c>
    </row>
    <row r="33" customFormat="false" ht="15" hidden="false" customHeight="false" outlineLevel="0" collapsed="false">
      <c r="B33" s="28"/>
      <c r="C33" s="29" t="str">
        <f aca="false">IFERROR(CHOOSE(WEEKDAY(B33,2),"Senin","Selasa","Rabu","Kamis","Jumat","Sabtu","Minggu"),"")</f>
        <v>Sabtu</v>
      </c>
    </row>
    <row r="34" customFormat="false" ht="15" hidden="false" customHeight="false" outlineLevel="0" collapsed="false">
      <c r="B34" s="28"/>
      <c r="C34" s="29" t="str">
        <f aca="false">IFERROR(CHOOSE(WEEKDAY(B34,2),"Senin","Selasa","Rabu","Kamis","Jumat","Sabtu","Minggu"),"")</f>
        <v>Sabtu</v>
      </c>
    </row>
    <row r="35" customFormat="false" ht="15" hidden="false" customHeight="false" outlineLevel="0" collapsed="false">
      <c r="B35" s="28"/>
      <c r="C35" s="29" t="str">
        <f aca="false">IFERROR(CHOOSE(WEEKDAY(B35,2),"Senin","Selasa","Rabu","Kamis","Jumat","Sabtu","Minggu"),"")</f>
        <v>Sabtu</v>
      </c>
    </row>
    <row r="36" customFormat="false" ht="15" hidden="false" customHeight="false" outlineLevel="0" collapsed="false">
      <c r="B36" s="28"/>
      <c r="C36" s="29" t="str">
        <f aca="false">IFERROR(CHOOSE(WEEKDAY(B36,2),"Senin","Selasa","Rabu","Kamis","Jumat","Sabtu","Minggu"),"")</f>
        <v>Sabtu</v>
      </c>
    </row>
    <row r="37" customFormat="false" ht="15" hidden="false" customHeight="false" outlineLevel="0" collapsed="false">
      <c r="B37" s="28"/>
      <c r="C37" s="29" t="str">
        <f aca="false">IFERROR(CHOOSE(WEEKDAY(B37,2),"Senin","Selasa","Rabu","Kamis","Jumat","Sabtu","Minggu"),"")</f>
        <v>Sabtu</v>
      </c>
    </row>
    <row r="38" customFormat="false" ht="15" hidden="false" customHeight="false" outlineLevel="0" collapsed="false">
      <c r="B38" s="28"/>
      <c r="C38" s="29" t="str">
        <f aca="false">IFERROR(CHOOSE(WEEKDAY(B38,2),"Senin","Selasa","Rabu","Kamis","Jumat","Sabtu","Minggu"),"")</f>
        <v>Sabtu</v>
      </c>
    </row>
    <row r="39" customFormat="false" ht="15" hidden="false" customHeight="false" outlineLevel="0" collapsed="false">
      <c r="B39" s="28"/>
      <c r="C39" s="29" t="str">
        <f aca="false">IFERROR(CHOOSE(WEEKDAY(B39,2),"Senin","Selasa","Rabu","Kamis","Jumat","Sabtu","Minggu"),"")</f>
        <v>Sabtu</v>
      </c>
    </row>
    <row r="40" customFormat="false" ht="15" hidden="false" customHeight="false" outlineLevel="0" collapsed="false">
      <c r="B40" s="28"/>
      <c r="C40" s="29" t="str">
        <f aca="false">IFERROR(CHOOSE(WEEKDAY(B40,2),"Senin","Selasa","Rabu","Kamis","Jumat","Sabtu","Minggu"),"")</f>
        <v>Sabtu</v>
      </c>
    </row>
    <row r="41" customFormat="false" ht="15" hidden="false" customHeight="false" outlineLevel="0" collapsed="false">
      <c r="B41" s="28"/>
      <c r="C41" s="29" t="str">
        <f aca="false">IFERROR(CHOOSE(WEEKDAY(B41,2),"Senin","Selasa","Rabu","Kamis","Jumat","Sabtu","Minggu"),"")</f>
        <v>Sabtu</v>
      </c>
    </row>
    <row r="42" customFormat="false" ht="15" hidden="false" customHeight="false" outlineLevel="0" collapsed="false">
      <c r="B42" s="28"/>
      <c r="C42" s="29" t="str">
        <f aca="false">IFERROR(CHOOSE(WEEKDAY(B42,2),"Senin","Selasa","Rabu","Kamis","Jumat","Sabtu","Minggu"),"")</f>
        <v>Sabtu</v>
      </c>
    </row>
    <row r="43" customFormat="false" ht="15" hidden="false" customHeight="false" outlineLevel="0" collapsed="false">
      <c r="B43" s="28"/>
      <c r="C43" s="29" t="str">
        <f aca="false">IFERROR(CHOOSE(WEEKDAY(B43,2),"Senin","Selasa","Rabu","Kamis","Jumat","Sabtu","Minggu"),"")</f>
        <v>Sabtu</v>
      </c>
    </row>
    <row r="44" customFormat="false" ht="15" hidden="false" customHeight="false" outlineLevel="0" collapsed="false">
      <c r="B44" s="28"/>
      <c r="C44" s="29" t="str">
        <f aca="false">IFERROR(CHOOSE(WEEKDAY(B44,2),"Senin","Selasa","Rabu","Kamis","Jumat","Sabtu","Minggu"),"")</f>
        <v>Sabtu</v>
      </c>
    </row>
    <row r="45" customFormat="false" ht="15" hidden="false" customHeight="false" outlineLevel="0" collapsed="false">
      <c r="B45" s="28"/>
      <c r="C45" s="29" t="str">
        <f aca="false">IFERROR(CHOOSE(WEEKDAY(B45,2),"Senin","Selasa","Rabu","Kamis","Jumat","Sabtu","Minggu"),"")</f>
        <v>Sabtu</v>
      </c>
    </row>
    <row r="46" customFormat="false" ht="15" hidden="false" customHeight="false" outlineLevel="0" collapsed="false">
      <c r="B46" s="28"/>
      <c r="C46" s="29" t="str">
        <f aca="false">IFERROR(CHOOSE(WEEKDAY(B46,2),"Senin","Selasa","Rabu","Kamis","Jumat","Sabtu","Minggu"),"")</f>
        <v>Sabtu</v>
      </c>
    </row>
    <row r="47" customFormat="false" ht="15" hidden="false" customHeight="false" outlineLevel="0" collapsed="false">
      <c r="B47" s="28"/>
      <c r="C47" s="29" t="str">
        <f aca="false">IFERROR(CHOOSE(WEEKDAY(B47,2),"Senin","Selasa","Rabu","Kamis","Jumat","Sabtu","Minggu"),"")</f>
        <v>Sabtu</v>
      </c>
    </row>
    <row r="48" customFormat="false" ht="15" hidden="false" customHeight="false" outlineLevel="0" collapsed="false">
      <c r="B48" s="28"/>
      <c r="C48" s="29" t="str">
        <f aca="false">IFERROR(CHOOSE(WEEKDAY(B48,2),"Senin","Selasa","Rabu","Kamis","Jumat","Sabtu","Minggu"),"")</f>
        <v>Sabtu</v>
      </c>
    </row>
    <row r="49" customFormat="false" ht="15" hidden="false" customHeight="false" outlineLevel="0" collapsed="false">
      <c r="B49" s="28"/>
      <c r="C49" s="29" t="str">
        <f aca="false">IFERROR(CHOOSE(WEEKDAY(B49,2),"Senin","Selasa","Rabu","Kamis","Jumat","Sabtu","Minggu"),"")</f>
        <v>Sabtu</v>
      </c>
    </row>
    <row r="50" customFormat="false" ht="15" hidden="false" customHeight="false" outlineLevel="0" collapsed="false">
      <c r="B50" s="28"/>
      <c r="C50" s="29" t="str">
        <f aca="false">IFERROR(CHOOSE(WEEKDAY(B50,2),"Senin","Selasa","Rabu","Kamis","Jumat","Sabtu","Minggu"),"")</f>
        <v>Sabtu</v>
      </c>
    </row>
    <row r="51" customFormat="false" ht="15" hidden="false" customHeight="false" outlineLevel="0" collapsed="false">
      <c r="B51" s="28"/>
      <c r="C51" s="29" t="str">
        <f aca="false">IFERROR(CHOOSE(WEEKDAY(B51,2),"Senin","Selasa","Rabu","Kamis","Jumat","Sabtu","Minggu"),"")</f>
        <v>Sabtu</v>
      </c>
    </row>
    <row r="52" customFormat="false" ht="15" hidden="false" customHeight="false" outlineLevel="0" collapsed="false">
      <c r="B52" s="28"/>
      <c r="C52" s="29" t="str">
        <f aca="false">IFERROR(CHOOSE(WEEKDAY(B52,2),"Senin","Selasa","Rabu","Kamis","Jumat","Sabtu","Minggu"),"")</f>
        <v>Sabtu</v>
      </c>
    </row>
    <row r="53" customFormat="false" ht="15" hidden="false" customHeight="false" outlineLevel="0" collapsed="false">
      <c r="B53" s="28"/>
      <c r="C53" s="29" t="str">
        <f aca="false">IFERROR(CHOOSE(WEEKDAY(B53,2),"Senin","Selasa","Rabu","Kamis","Jumat","Sabtu","Minggu"),"")</f>
        <v>Sabtu</v>
      </c>
    </row>
    <row r="54" customFormat="false" ht="15" hidden="false" customHeight="false" outlineLevel="0" collapsed="false">
      <c r="B54" s="28"/>
      <c r="C54" s="29" t="str">
        <f aca="false">IFERROR(CHOOSE(WEEKDAY(B54,2),"Senin","Selasa","Rabu","Kamis","Jumat","Sabtu","Minggu"),"")</f>
        <v>Sabtu</v>
      </c>
    </row>
    <row r="55" customFormat="false" ht="15" hidden="false" customHeight="false" outlineLevel="0" collapsed="false">
      <c r="B55" s="28"/>
      <c r="C55" s="29" t="str">
        <f aca="false">IFERROR(CHOOSE(WEEKDAY(B55,2),"Senin","Selasa","Rabu","Kamis","Jumat","Sabtu","Minggu"),"")</f>
        <v>Sabtu</v>
      </c>
    </row>
    <row r="56" customFormat="false" ht="15" hidden="false" customHeight="false" outlineLevel="0" collapsed="false">
      <c r="B56" s="28"/>
      <c r="C56" s="29" t="str">
        <f aca="false">IFERROR(CHOOSE(WEEKDAY(B56,2),"Senin","Selasa","Rabu","Kamis","Jumat","Sabtu","Minggu"),"")</f>
        <v>Sabtu</v>
      </c>
    </row>
    <row r="57" customFormat="false" ht="15" hidden="false" customHeight="false" outlineLevel="0" collapsed="false">
      <c r="B57" s="28"/>
      <c r="C57" s="29" t="str">
        <f aca="false">IFERROR(CHOOSE(WEEKDAY(B57,2),"Senin","Selasa","Rabu","Kamis","Jumat","Sabtu","Minggu"),"")</f>
        <v>Sabtu</v>
      </c>
    </row>
    <row r="58" customFormat="false" ht="15" hidden="false" customHeight="false" outlineLevel="0" collapsed="false">
      <c r="B58" s="28"/>
      <c r="C58" s="29" t="str">
        <f aca="false">IFERROR(CHOOSE(WEEKDAY(B58,2),"Senin","Selasa","Rabu","Kamis","Jumat","Sabtu","Minggu"),"")</f>
        <v>Sabtu</v>
      </c>
    </row>
    <row r="59" customFormat="false" ht="15" hidden="false" customHeight="false" outlineLevel="0" collapsed="false">
      <c r="B59" s="28"/>
      <c r="C59" s="29" t="str">
        <f aca="false">IFERROR(CHOOSE(WEEKDAY(B59,2),"Senin","Selasa","Rabu","Kamis","Jumat","Sabtu","Minggu"),"")</f>
        <v>Sabtu</v>
      </c>
    </row>
    <row r="60" customFormat="false" ht="15" hidden="false" customHeight="false" outlineLevel="0" collapsed="false">
      <c r="B60" s="28"/>
      <c r="C60" s="29" t="str">
        <f aca="false">IFERROR(CHOOSE(WEEKDAY(B60,2),"Senin","Selasa","Rabu","Kamis","Jumat","Sabtu","Minggu"),"")</f>
        <v>Sabtu</v>
      </c>
    </row>
    <row r="61" customFormat="false" ht="15" hidden="false" customHeight="false" outlineLevel="0" collapsed="false">
      <c r="B61" s="28"/>
      <c r="C61" s="29" t="str">
        <f aca="false">IFERROR(CHOOSE(WEEKDAY(B61,2),"Senin","Selasa","Rabu","Kamis","Jumat","Sabtu","Minggu"),"")</f>
        <v>Sabtu</v>
      </c>
    </row>
    <row r="62" customFormat="false" ht="15" hidden="false" customHeight="false" outlineLevel="0" collapsed="false">
      <c r="B62" s="28"/>
      <c r="C62" s="29" t="str">
        <f aca="false">IFERROR(CHOOSE(WEEKDAY(B62,2),"Senin","Selasa","Rabu","Kamis","Jumat","Sabtu","Minggu"),"")</f>
        <v>Sabtu</v>
      </c>
    </row>
    <row r="63" customFormat="false" ht="15" hidden="false" customHeight="false" outlineLevel="0" collapsed="false">
      <c r="B63" s="28"/>
      <c r="C63" s="29" t="str">
        <f aca="false">IFERROR(CHOOSE(WEEKDAY(B63,2),"Senin","Selasa","Rabu","Kamis","Jumat","Sabtu","Minggu"),"")</f>
        <v>Sabtu</v>
      </c>
    </row>
    <row r="64" customFormat="false" ht="15" hidden="false" customHeight="false" outlineLevel="0" collapsed="false">
      <c r="B64" s="28"/>
      <c r="C64" s="29" t="str">
        <f aca="false">IFERROR(CHOOSE(WEEKDAY(B64,2),"Senin","Selasa","Rabu","Kamis","Jumat","Sabtu","Minggu"),"")</f>
        <v>Sabtu</v>
      </c>
    </row>
    <row r="65" customFormat="false" ht="15" hidden="false" customHeight="false" outlineLevel="0" collapsed="false">
      <c r="B65" s="28"/>
      <c r="C65" s="29" t="str">
        <f aca="false">IFERROR(CHOOSE(WEEKDAY(B65,2),"Senin","Selasa","Rabu","Kamis","Jumat","Sabtu","Minggu"),"")</f>
        <v>Sabtu</v>
      </c>
    </row>
    <row r="66" customFormat="false" ht="15" hidden="false" customHeight="false" outlineLevel="0" collapsed="false">
      <c r="B66" s="28"/>
      <c r="C66" s="29" t="str">
        <f aca="false">IFERROR(CHOOSE(WEEKDAY(B66,2),"Senin","Selasa","Rabu","Kamis","Jumat","Sabtu","Minggu"),"")</f>
        <v>Sabtu</v>
      </c>
    </row>
    <row r="67" customFormat="false" ht="15" hidden="false" customHeight="false" outlineLevel="0" collapsed="false">
      <c r="B67" s="28"/>
      <c r="C67" s="29" t="str">
        <f aca="false">IFERROR(CHOOSE(WEEKDAY(B67,2),"Senin","Selasa","Rabu","Kamis","Jumat","Sabtu","Minggu"),"")</f>
        <v>Sabtu</v>
      </c>
    </row>
    <row r="68" customFormat="false" ht="15" hidden="false" customHeight="false" outlineLevel="0" collapsed="false">
      <c r="B68" s="28"/>
      <c r="C68" s="29" t="str">
        <f aca="false">IFERROR(CHOOSE(WEEKDAY(B68,2),"Senin","Selasa","Rabu","Kamis","Jumat","Sabtu","Minggu"),"")</f>
        <v>Sabtu</v>
      </c>
    </row>
    <row r="69" customFormat="false" ht="15" hidden="false" customHeight="false" outlineLevel="0" collapsed="false">
      <c r="B69" s="28"/>
      <c r="C69" s="29" t="str">
        <f aca="false">IFERROR(CHOOSE(WEEKDAY(B69,2),"Senin","Selasa","Rabu","Kamis","Jumat","Sabtu","Minggu"),"")</f>
        <v>Sabtu</v>
      </c>
    </row>
    <row r="70" customFormat="false" ht="15" hidden="false" customHeight="false" outlineLevel="0" collapsed="false">
      <c r="B70" s="28"/>
      <c r="C70" s="29" t="str">
        <f aca="false">IFERROR(CHOOSE(WEEKDAY(B70,2),"Senin","Selasa","Rabu","Kamis","Jumat","Sabtu","Minggu"),"")</f>
        <v>Sabtu</v>
      </c>
    </row>
    <row r="71" customFormat="false" ht="15" hidden="false" customHeight="false" outlineLevel="0" collapsed="false">
      <c r="B71" s="28"/>
      <c r="C71" s="29" t="str">
        <f aca="false">IFERROR(CHOOSE(WEEKDAY(B71,2),"Senin","Selasa","Rabu","Kamis","Jumat","Sabtu","Minggu"),"")</f>
        <v>Sabtu</v>
      </c>
    </row>
    <row r="72" customFormat="false" ht="15" hidden="false" customHeight="false" outlineLevel="0" collapsed="false">
      <c r="B72" s="28"/>
      <c r="C72" s="29" t="str">
        <f aca="false">IFERROR(CHOOSE(WEEKDAY(B72,2),"Senin","Selasa","Rabu","Kamis","Jumat","Sabtu","Minggu"),"")</f>
        <v>Sabtu</v>
      </c>
    </row>
    <row r="73" customFormat="false" ht="15" hidden="false" customHeight="false" outlineLevel="0" collapsed="false">
      <c r="B73" s="28"/>
      <c r="C73" s="29" t="str">
        <f aca="false">IFERROR(CHOOSE(WEEKDAY(B73,2),"Senin","Selasa","Rabu","Kamis","Jumat","Sabtu","Minggu"),"")</f>
        <v>Sabtu</v>
      </c>
    </row>
    <row r="74" customFormat="false" ht="15" hidden="false" customHeight="false" outlineLevel="0" collapsed="false">
      <c r="B74" s="28"/>
      <c r="C74" s="29" t="str">
        <f aca="false">IFERROR(CHOOSE(WEEKDAY(B74,2),"Senin","Selasa","Rabu","Kamis","Jumat","Sabtu","Minggu"),"")</f>
        <v>Sabtu</v>
      </c>
    </row>
    <row r="75" customFormat="false" ht="15" hidden="false" customHeight="false" outlineLevel="0" collapsed="false">
      <c r="B75" s="28"/>
      <c r="C75" s="29" t="str">
        <f aca="false">IFERROR(CHOOSE(WEEKDAY(B75,2),"Senin","Selasa","Rabu","Kamis","Jumat","Sabtu","Minggu"),"")</f>
        <v>Sabtu</v>
      </c>
    </row>
    <row r="76" customFormat="false" ht="15" hidden="false" customHeight="false" outlineLevel="0" collapsed="false">
      <c r="B76" s="28"/>
      <c r="C76" s="29" t="str">
        <f aca="false">IFERROR(CHOOSE(WEEKDAY(B76,2),"Senin","Selasa","Rabu","Kamis","Jumat","Sabtu","Minggu"),"")</f>
        <v>Sabtu</v>
      </c>
    </row>
    <row r="77" customFormat="false" ht="15" hidden="false" customHeight="false" outlineLevel="0" collapsed="false">
      <c r="B77" s="28"/>
      <c r="C77" s="29" t="str">
        <f aca="false">IFERROR(CHOOSE(WEEKDAY(B77,2),"Senin","Selasa","Rabu","Kamis","Jumat","Sabtu","Minggu"),"")</f>
        <v>Sabtu</v>
      </c>
    </row>
    <row r="78" customFormat="false" ht="15" hidden="false" customHeight="false" outlineLevel="0" collapsed="false">
      <c r="B78" s="28"/>
      <c r="C78" s="29" t="str">
        <f aca="false">IFERROR(CHOOSE(WEEKDAY(B78,2),"Senin","Selasa","Rabu","Kamis","Jumat","Sabtu","Minggu"),"")</f>
        <v>Sabtu</v>
      </c>
    </row>
    <row r="79" customFormat="false" ht="15" hidden="false" customHeight="false" outlineLevel="0" collapsed="false">
      <c r="B79" s="28"/>
      <c r="C79" s="29" t="str">
        <f aca="false">IFERROR(CHOOSE(WEEKDAY(B79,2),"Senin","Selasa","Rabu","Kamis","Jumat","Sabtu","Minggu"),"")</f>
        <v>Sabtu</v>
      </c>
    </row>
    <row r="80" customFormat="false" ht="15" hidden="false" customHeight="false" outlineLevel="0" collapsed="false">
      <c r="B80" s="28"/>
      <c r="C80" s="29" t="str">
        <f aca="false">IFERROR(CHOOSE(WEEKDAY(B80,2),"Senin","Selasa","Rabu","Kamis","Jumat","Sabtu","Minggu"),"")</f>
        <v>Sabtu</v>
      </c>
    </row>
    <row r="81" customFormat="false" ht="15" hidden="false" customHeight="false" outlineLevel="0" collapsed="false">
      <c r="B81" s="28"/>
      <c r="C81" s="29" t="str">
        <f aca="false">IFERROR(CHOOSE(WEEKDAY(B81,2),"Senin","Selasa","Rabu","Kamis","Jumat","Sabtu","Minggu"),"")</f>
        <v>Sabtu</v>
      </c>
    </row>
    <row r="82" customFormat="false" ht="15" hidden="false" customHeight="false" outlineLevel="0" collapsed="false">
      <c r="B82" s="28"/>
      <c r="C82" s="29" t="str">
        <f aca="false">IFERROR(CHOOSE(WEEKDAY(B82,2),"Senin","Selasa","Rabu","Kamis","Jumat","Sabtu","Minggu"),"")</f>
        <v>Sabtu</v>
      </c>
    </row>
    <row r="83" customFormat="false" ht="15" hidden="false" customHeight="false" outlineLevel="0" collapsed="false">
      <c r="B83" s="28"/>
      <c r="C83" s="29" t="str">
        <f aca="false">IFERROR(CHOOSE(WEEKDAY(B83,2),"Senin","Selasa","Rabu","Kamis","Jumat","Sabtu","Minggu"),"")</f>
        <v>Sabtu</v>
      </c>
    </row>
    <row r="84" customFormat="false" ht="15" hidden="false" customHeight="false" outlineLevel="0" collapsed="false">
      <c r="B84" s="28"/>
      <c r="C84" s="29" t="str">
        <f aca="false">IFERROR(CHOOSE(WEEKDAY(B84,2),"Senin","Selasa","Rabu","Kamis","Jumat","Sabtu","Minggu"),"")</f>
        <v>Sabtu</v>
      </c>
    </row>
    <row r="85" customFormat="false" ht="15" hidden="false" customHeight="false" outlineLevel="0" collapsed="false">
      <c r="B85" s="28"/>
      <c r="C85" s="29" t="str">
        <f aca="false">IFERROR(CHOOSE(WEEKDAY(B85,2),"Senin","Selasa","Rabu","Kamis","Jumat","Sabtu","Minggu"),"")</f>
        <v>Sabtu</v>
      </c>
    </row>
    <row r="86" customFormat="false" ht="15" hidden="false" customHeight="false" outlineLevel="0" collapsed="false">
      <c r="B86" s="28"/>
      <c r="C86" s="29" t="str">
        <f aca="false">IFERROR(CHOOSE(WEEKDAY(B86,2),"Senin","Selasa","Rabu","Kamis","Jumat","Sabtu","Minggu"),"")</f>
        <v>Sabtu</v>
      </c>
    </row>
    <row r="87" customFormat="false" ht="15" hidden="false" customHeight="false" outlineLevel="0" collapsed="false">
      <c r="B87" s="28"/>
      <c r="C87" s="29" t="str">
        <f aca="false">IFERROR(CHOOSE(WEEKDAY(B87,2),"Senin","Selasa","Rabu","Kamis","Jumat","Sabtu","Minggu"),"")</f>
        <v>Sabtu</v>
      </c>
    </row>
    <row r="88" customFormat="false" ht="15" hidden="false" customHeight="false" outlineLevel="0" collapsed="false">
      <c r="B88" s="28"/>
      <c r="C88" s="29" t="str">
        <f aca="false">IFERROR(CHOOSE(WEEKDAY(B88,2),"Senin","Selasa","Rabu","Kamis","Jumat","Sabtu","Minggu"),"")</f>
        <v>Sabtu</v>
      </c>
    </row>
    <row r="89" customFormat="false" ht="15" hidden="false" customHeight="false" outlineLevel="0" collapsed="false">
      <c r="B89" s="28"/>
      <c r="C89" s="29" t="str">
        <f aca="false">IFERROR(CHOOSE(WEEKDAY(B89,2),"Senin","Selasa","Rabu","Kamis","Jumat","Sabtu","Minggu"),"")</f>
        <v>Sabtu</v>
      </c>
    </row>
    <row r="90" customFormat="false" ht="15" hidden="false" customHeight="false" outlineLevel="0" collapsed="false">
      <c r="B90" s="28"/>
      <c r="C90" s="29" t="str">
        <f aca="false">IFERROR(CHOOSE(WEEKDAY(B90,2),"Senin","Selasa","Rabu","Kamis","Jumat","Sabtu","Minggu"),"")</f>
        <v>Sabtu</v>
      </c>
    </row>
    <row r="91" customFormat="false" ht="15" hidden="false" customHeight="false" outlineLevel="0" collapsed="false">
      <c r="B91" s="28"/>
      <c r="C91" s="29" t="str">
        <f aca="false">IFERROR(CHOOSE(WEEKDAY(B91,2),"Senin","Selasa","Rabu","Kamis","Jumat","Sabtu","Minggu"),"")</f>
        <v>Sabtu</v>
      </c>
    </row>
    <row r="92" customFormat="false" ht="15" hidden="false" customHeight="false" outlineLevel="0" collapsed="false">
      <c r="B92" s="28"/>
      <c r="C92" s="29" t="str">
        <f aca="false">IFERROR(CHOOSE(WEEKDAY(B92,2),"Senin","Selasa","Rabu","Kamis","Jumat","Sabtu","Minggu"),"")</f>
        <v>Sabtu</v>
      </c>
    </row>
    <row r="93" customFormat="false" ht="15" hidden="false" customHeight="false" outlineLevel="0" collapsed="false">
      <c r="B93" s="28"/>
      <c r="C93" s="29" t="str">
        <f aca="false">IFERROR(CHOOSE(WEEKDAY(B93,2),"Senin","Selasa","Rabu","Kamis","Jumat","Sabtu","Minggu"),"")</f>
        <v>Sabtu</v>
      </c>
    </row>
    <row r="94" customFormat="false" ht="15" hidden="false" customHeight="false" outlineLevel="0" collapsed="false">
      <c r="B94" s="28"/>
      <c r="C94" s="29" t="str">
        <f aca="false">IFERROR(CHOOSE(WEEKDAY(B94,2),"Senin","Selasa","Rabu","Kamis","Jumat","Sabtu","Minggu"),"")</f>
        <v>Sabtu</v>
      </c>
    </row>
    <row r="95" customFormat="false" ht="15" hidden="false" customHeight="false" outlineLevel="0" collapsed="false">
      <c r="B95" s="28"/>
      <c r="C95" s="29" t="str">
        <f aca="false">IFERROR(CHOOSE(WEEKDAY(B95,2),"Senin","Selasa","Rabu","Kamis","Jumat","Sabtu","Minggu"),"")</f>
        <v>Sabtu</v>
      </c>
    </row>
    <row r="96" customFormat="false" ht="15" hidden="false" customHeight="false" outlineLevel="0" collapsed="false">
      <c r="B96" s="28"/>
      <c r="C96" s="29" t="str">
        <f aca="false">IFERROR(CHOOSE(WEEKDAY(B96,2),"Senin","Selasa","Rabu","Kamis","Jumat","Sabtu","Minggu"),"")</f>
        <v>Sabtu</v>
      </c>
    </row>
    <row r="97" customFormat="false" ht="15" hidden="false" customHeight="false" outlineLevel="0" collapsed="false">
      <c r="B97" s="28"/>
      <c r="C97" s="29" t="str">
        <f aca="false">IFERROR(CHOOSE(WEEKDAY(B97,2),"Senin","Selasa","Rabu","Kamis","Jumat","Sabtu","Minggu"),"")</f>
        <v>Sabtu</v>
      </c>
    </row>
    <row r="98" customFormat="false" ht="15" hidden="false" customHeight="false" outlineLevel="0" collapsed="false">
      <c r="B98" s="28"/>
      <c r="C98" s="29" t="str">
        <f aca="false">IFERROR(CHOOSE(WEEKDAY(B98,2),"Senin","Selasa","Rabu","Kamis","Jumat","Sabtu","Minggu"),"")</f>
        <v>Sabtu</v>
      </c>
    </row>
    <row r="99" customFormat="false" ht="15" hidden="false" customHeight="false" outlineLevel="0" collapsed="false">
      <c r="B99" s="28"/>
      <c r="C99" s="29" t="str">
        <f aca="false">IFERROR(CHOOSE(WEEKDAY(B99,2),"Senin","Selasa","Rabu","Kamis","Jumat","Sabtu","Minggu"),"")</f>
        <v>Sabtu</v>
      </c>
    </row>
    <row r="100" customFormat="false" ht="15" hidden="false" customHeight="false" outlineLevel="0" collapsed="false">
      <c r="B100" s="28"/>
      <c r="C100" s="29" t="str">
        <f aca="false">IFERROR(CHOOSE(WEEKDAY(B100,2),"Senin","Selasa","Rabu","Kamis","Jumat","Sabtu","Minggu"),"")</f>
        <v>Sabtu</v>
      </c>
    </row>
    <row r="101" customFormat="false" ht="15" hidden="false" customHeight="false" outlineLevel="0" collapsed="false">
      <c r="B101" s="28"/>
      <c r="C101" s="29" t="str">
        <f aca="false">IFERROR(CHOOSE(WEEKDAY(B101,2),"Senin","Selasa","Rabu","Kamis","Jumat","Sabtu","Minggu"),"")</f>
        <v>Sabtu</v>
      </c>
    </row>
    <row r="102" customFormat="false" ht="15" hidden="false" customHeight="false" outlineLevel="0" collapsed="false">
      <c r="B102" s="28"/>
      <c r="C102" s="29" t="str">
        <f aca="false">IFERROR(CHOOSE(WEEKDAY(B102,2),"Senin","Selasa","Rabu","Kamis","Jumat","Sabtu","Minggu"),"")</f>
        <v>Sabtu</v>
      </c>
    </row>
    <row r="103" customFormat="false" ht="15" hidden="false" customHeight="false" outlineLevel="0" collapsed="false">
      <c r="B103" s="28"/>
      <c r="C103" s="29" t="str">
        <f aca="false">IFERROR(CHOOSE(WEEKDAY(B103,2),"Senin","Selasa","Rabu","Kamis","Jumat","Sabtu","Minggu"),"")</f>
        <v>Sabtu</v>
      </c>
    </row>
    <row r="104" customFormat="false" ht="15" hidden="false" customHeight="false" outlineLevel="0" collapsed="false">
      <c r="B104" s="28"/>
      <c r="C104" s="29" t="str">
        <f aca="false">IFERROR(CHOOSE(WEEKDAY(B104,2),"Senin","Selasa","Rabu","Kamis","Jumat","Sabtu","Minggu"),"")</f>
        <v>Sabtu</v>
      </c>
    </row>
    <row r="105" customFormat="false" ht="15" hidden="false" customHeight="false" outlineLevel="0" collapsed="false">
      <c r="B105" s="28"/>
      <c r="C105" s="29" t="str">
        <f aca="false">IFERROR(CHOOSE(WEEKDAY(B105,2),"Senin","Selasa","Rabu","Kamis","Jumat","Sabtu","Minggu"),"")</f>
        <v>Sabtu</v>
      </c>
    </row>
    <row r="106" customFormat="false" ht="15" hidden="false" customHeight="false" outlineLevel="0" collapsed="false">
      <c r="B106" s="28"/>
      <c r="C106" s="29" t="str">
        <f aca="false">IFERROR(CHOOSE(WEEKDAY(B106,2),"Senin","Selasa","Rabu","Kamis","Jumat","Sabtu","Minggu"),"")</f>
        <v>Sabtu</v>
      </c>
    </row>
    <row r="107" customFormat="false" ht="15" hidden="false" customHeight="false" outlineLevel="0" collapsed="false">
      <c r="B107" s="28"/>
      <c r="C107" s="29" t="str">
        <f aca="false">IFERROR(CHOOSE(WEEKDAY(B107,2),"Senin","Selasa","Rabu","Kamis","Jumat","Sabtu","Minggu"),"")</f>
        <v>Sabtu</v>
      </c>
    </row>
    <row r="108" customFormat="false" ht="15" hidden="false" customHeight="false" outlineLevel="0" collapsed="false">
      <c r="B108" s="28"/>
      <c r="C108" s="29" t="str">
        <f aca="false">IFERROR(CHOOSE(WEEKDAY(B108,2),"Senin","Selasa","Rabu","Kamis","Jumat","Sabtu","Minggu"),"")</f>
        <v>Sabtu</v>
      </c>
    </row>
    <row r="109" customFormat="false" ht="15" hidden="false" customHeight="false" outlineLevel="0" collapsed="false">
      <c r="B109" s="28"/>
      <c r="C109" s="29" t="str">
        <f aca="false">IFERROR(CHOOSE(WEEKDAY(B109,2),"Senin","Selasa","Rabu","Kamis","Jumat","Sabtu","Minggu"),"")</f>
        <v>Sabtu</v>
      </c>
    </row>
    <row r="110" customFormat="false" ht="15" hidden="false" customHeight="false" outlineLevel="0" collapsed="false">
      <c r="B110" s="28"/>
      <c r="C110" s="29" t="str">
        <f aca="false">IFERROR(CHOOSE(WEEKDAY(B110,2),"Senin","Selasa","Rabu","Kamis","Jumat","Sabtu","Minggu"),"")</f>
        <v>Sabtu</v>
      </c>
    </row>
    <row r="111" customFormat="false" ht="15" hidden="false" customHeight="false" outlineLevel="0" collapsed="false">
      <c r="B111" s="28"/>
      <c r="C111" s="29" t="str">
        <f aca="false">IFERROR(CHOOSE(WEEKDAY(B111,2),"Senin","Selasa","Rabu","Kamis","Jumat","Sabtu","Minggu"),"")</f>
        <v>Sabtu</v>
      </c>
    </row>
    <row r="112" customFormat="false" ht="15" hidden="false" customHeight="false" outlineLevel="0" collapsed="false">
      <c r="B112" s="28"/>
      <c r="C112" s="29" t="str">
        <f aca="false">IFERROR(CHOOSE(WEEKDAY(B112,2),"Senin","Selasa","Rabu","Kamis","Jumat","Sabtu","Minggu"),"")</f>
        <v>Sabtu</v>
      </c>
    </row>
    <row r="113" customFormat="false" ht="15" hidden="false" customHeight="false" outlineLevel="0" collapsed="false">
      <c r="B113" s="28"/>
      <c r="C113" s="29" t="str">
        <f aca="false">IFERROR(CHOOSE(WEEKDAY(B113,2),"Senin","Selasa","Rabu","Kamis","Jumat","Sabtu","Minggu"),"")</f>
        <v>Sabtu</v>
      </c>
    </row>
    <row r="114" customFormat="false" ht="15" hidden="false" customHeight="false" outlineLevel="0" collapsed="false">
      <c r="B114" s="28"/>
      <c r="C114" s="29" t="str">
        <f aca="false">IFERROR(CHOOSE(WEEKDAY(B114,2),"Senin","Selasa","Rabu","Kamis","Jumat","Sabtu","Minggu"),"")</f>
        <v>Sabtu</v>
      </c>
    </row>
    <row r="115" customFormat="false" ht="15" hidden="false" customHeight="false" outlineLevel="0" collapsed="false">
      <c r="B115" s="28"/>
      <c r="C115" s="29" t="str">
        <f aca="false">IFERROR(CHOOSE(WEEKDAY(B115,2),"Senin","Selasa","Rabu","Kamis","Jumat","Sabtu","Minggu"),"")</f>
        <v>Sabtu</v>
      </c>
    </row>
    <row r="116" customFormat="false" ht="15" hidden="false" customHeight="false" outlineLevel="0" collapsed="false">
      <c r="B116" s="28"/>
      <c r="C116" s="29" t="str">
        <f aca="false">IFERROR(CHOOSE(WEEKDAY(B116,2),"Senin","Selasa","Rabu","Kamis","Jumat","Sabtu","Minggu"),"")</f>
        <v>Sabtu</v>
      </c>
    </row>
    <row r="117" customFormat="false" ht="15" hidden="false" customHeight="false" outlineLevel="0" collapsed="false">
      <c r="B117" s="28"/>
      <c r="C117" s="29" t="str">
        <f aca="false">IFERROR(CHOOSE(WEEKDAY(B117,2),"Senin","Selasa","Rabu","Kamis","Jumat","Sabtu","Minggu"),"")</f>
        <v>Sabtu</v>
      </c>
    </row>
    <row r="118" customFormat="false" ht="15" hidden="false" customHeight="false" outlineLevel="0" collapsed="false">
      <c r="B118" s="28"/>
      <c r="C118" s="29" t="str">
        <f aca="false">IFERROR(CHOOSE(WEEKDAY(B118,2),"Senin","Selasa","Rabu","Kamis","Jumat","Sabtu","Minggu"),"")</f>
        <v>Sabtu</v>
      </c>
    </row>
    <row r="119" customFormat="false" ht="15" hidden="false" customHeight="false" outlineLevel="0" collapsed="false">
      <c r="B119" s="28"/>
      <c r="C119" s="29" t="str">
        <f aca="false">IFERROR(CHOOSE(WEEKDAY(B119,2),"Senin","Selasa","Rabu","Kamis","Jumat","Sabtu","Minggu"),"")</f>
        <v>Sabtu</v>
      </c>
    </row>
    <row r="120" customFormat="false" ht="15" hidden="false" customHeight="false" outlineLevel="0" collapsed="false">
      <c r="B120" s="28"/>
      <c r="C120" s="29" t="str">
        <f aca="false">IFERROR(CHOOSE(WEEKDAY(B120,2),"Senin","Selasa","Rabu","Kamis","Jumat","Sabtu","Minggu"),"")</f>
        <v>Sabtu</v>
      </c>
    </row>
    <row r="121" customFormat="false" ht="15" hidden="false" customHeight="false" outlineLevel="0" collapsed="false">
      <c r="B121" s="28"/>
      <c r="C121" s="29" t="str">
        <f aca="false">IFERROR(CHOOSE(WEEKDAY(B121,2),"Senin","Selasa","Rabu","Kamis","Jumat","Sabtu","Minggu"),"")</f>
        <v>Sabtu</v>
      </c>
    </row>
    <row r="122" customFormat="false" ht="15" hidden="false" customHeight="false" outlineLevel="0" collapsed="false">
      <c r="B122" s="28"/>
      <c r="C122" s="29" t="str">
        <f aca="false">IFERROR(CHOOSE(WEEKDAY(B122,2),"Senin","Selasa","Rabu","Kamis","Jumat","Sabtu","Minggu"),"")</f>
        <v>Sabtu</v>
      </c>
    </row>
    <row r="123" customFormat="false" ht="15" hidden="false" customHeight="false" outlineLevel="0" collapsed="false">
      <c r="B123" s="28"/>
      <c r="C123" s="29" t="str">
        <f aca="false">IFERROR(CHOOSE(WEEKDAY(B123,2),"Senin","Selasa","Rabu","Kamis","Jumat","Sabtu","Minggu"),"")</f>
        <v>Sabtu</v>
      </c>
    </row>
    <row r="124" customFormat="false" ht="15" hidden="false" customHeight="false" outlineLevel="0" collapsed="false">
      <c r="B124" s="28"/>
      <c r="C124" s="29" t="str">
        <f aca="false">IFERROR(CHOOSE(WEEKDAY(B124,2),"Senin","Selasa","Rabu","Kamis","Jumat","Sabtu","Minggu"),"")</f>
        <v>Sabtu</v>
      </c>
    </row>
    <row r="125" customFormat="false" ht="15" hidden="false" customHeight="false" outlineLevel="0" collapsed="false">
      <c r="B125" s="28"/>
      <c r="C125" s="29" t="str">
        <f aca="false">IFERROR(CHOOSE(WEEKDAY(B125,2),"Senin","Selasa","Rabu","Kamis","Jumat","Sabtu","Minggu"),"")</f>
        <v>Sabtu</v>
      </c>
    </row>
    <row r="126" customFormat="false" ht="15" hidden="false" customHeight="false" outlineLevel="0" collapsed="false">
      <c r="B126" s="28"/>
      <c r="C126" s="29" t="str">
        <f aca="false">IFERROR(CHOOSE(WEEKDAY(B126,2),"Senin","Selasa","Rabu","Kamis","Jumat","Sabtu","Minggu"),"")</f>
        <v>Sabtu</v>
      </c>
    </row>
    <row r="127" customFormat="false" ht="15" hidden="false" customHeight="false" outlineLevel="0" collapsed="false">
      <c r="B127" s="28"/>
      <c r="C127" s="29" t="str">
        <f aca="false">IFERROR(CHOOSE(WEEKDAY(B127,2),"Senin","Selasa","Rabu","Kamis","Jumat","Sabtu","Minggu"),"")</f>
        <v>Sabtu</v>
      </c>
    </row>
    <row r="128" customFormat="false" ht="15" hidden="false" customHeight="false" outlineLevel="0" collapsed="false">
      <c r="B128" s="28"/>
      <c r="C128" s="29" t="str">
        <f aca="false">IFERROR(CHOOSE(WEEKDAY(B128,2),"Senin","Selasa","Rabu","Kamis","Jumat","Sabtu","Minggu"),"")</f>
        <v>Sabtu</v>
      </c>
    </row>
    <row r="129" customFormat="false" ht="15" hidden="false" customHeight="false" outlineLevel="0" collapsed="false">
      <c r="B129" s="28"/>
      <c r="C129" s="29" t="str">
        <f aca="false">IFERROR(CHOOSE(WEEKDAY(B129,2),"Senin","Selasa","Rabu","Kamis","Jumat","Sabtu","Minggu"),"")</f>
        <v>Sabtu</v>
      </c>
    </row>
    <row r="130" customFormat="false" ht="15" hidden="false" customHeight="false" outlineLevel="0" collapsed="false">
      <c r="B130" s="28"/>
      <c r="C130" s="29" t="str">
        <f aca="false">IFERROR(CHOOSE(WEEKDAY(B130,2),"Senin","Selasa","Rabu","Kamis","Jumat","Sabtu","Minggu"),"")</f>
        <v>Sabtu</v>
      </c>
    </row>
    <row r="131" customFormat="false" ht="15" hidden="false" customHeight="false" outlineLevel="0" collapsed="false">
      <c r="B131" s="28"/>
      <c r="C131" s="29" t="str">
        <f aca="false">IFERROR(CHOOSE(WEEKDAY(B131,2),"Senin","Selasa","Rabu","Kamis","Jumat","Sabtu","Minggu"),"")</f>
        <v>Sabtu</v>
      </c>
    </row>
    <row r="132" customFormat="false" ht="15" hidden="false" customHeight="false" outlineLevel="0" collapsed="false">
      <c r="B132" s="28"/>
      <c r="C132" s="29" t="str">
        <f aca="false">IFERROR(CHOOSE(WEEKDAY(B132,2),"Senin","Selasa","Rabu","Kamis","Jumat","Sabtu","Minggu"),"")</f>
        <v>Sabtu</v>
      </c>
    </row>
    <row r="133" customFormat="false" ht="15" hidden="false" customHeight="false" outlineLevel="0" collapsed="false">
      <c r="B133" s="28"/>
      <c r="C133" s="29" t="str">
        <f aca="false">IFERROR(CHOOSE(WEEKDAY(B133,2),"Senin","Selasa","Rabu","Kamis","Jumat","Sabtu","Minggu"),"")</f>
        <v>Sabtu</v>
      </c>
    </row>
    <row r="134" customFormat="false" ht="15" hidden="false" customHeight="false" outlineLevel="0" collapsed="false">
      <c r="B134" s="28"/>
      <c r="C134" s="29" t="str">
        <f aca="false">IFERROR(CHOOSE(WEEKDAY(B134,2),"Senin","Selasa","Rabu","Kamis","Jumat","Sabtu","Minggu"),"")</f>
        <v>Sabtu</v>
      </c>
    </row>
    <row r="135" customFormat="false" ht="15" hidden="false" customHeight="false" outlineLevel="0" collapsed="false">
      <c r="B135" s="28"/>
      <c r="C135" s="29" t="str">
        <f aca="false">IFERROR(CHOOSE(WEEKDAY(B135,2),"Senin","Selasa","Rabu","Kamis","Jumat","Sabtu","Minggu"),"")</f>
        <v>Sabtu</v>
      </c>
    </row>
    <row r="136" customFormat="false" ht="15" hidden="false" customHeight="false" outlineLevel="0" collapsed="false">
      <c r="B136" s="28"/>
      <c r="C136" s="29" t="str">
        <f aca="false">IFERROR(CHOOSE(WEEKDAY(B136,2),"Senin","Selasa","Rabu","Kamis","Jumat","Sabtu","Minggu"),"")</f>
        <v>Sabtu</v>
      </c>
    </row>
    <row r="137" customFormat="false" ht="15" hidden="false" customHeight="false" outlineLevel="0" collapsed="false">
      <c r="B137" s="28"/>
      <c r="C137" s="29" t="str">
        <f aca="false">IFERROR(CHOOSE(WEEKDAY(B137,2),"Senin","Selasa","Rabu","Kamis","Jumat","Sabtu","Minggu"),"")</f>
        <v>Sabtu</v>
      </c>
    </row>
    <row r="138" customFormat="false" ht="15" hidden="false" customHeight="false" outlineLevel="0" collapsed="false">
      <c r="B138" s="28"/>
      <c r="C138" s="29" t="str">
        <f aca="false">IFERROR(CHOOSE(WEEKDAY(B138,2),"Senin","Selasa","Rabu","Kamis","Jumat","Sabtu","Minggu"),"")</f>
        <v>Sabtu</v>
      </c>
    </row>
    <row r="139" customFormat="false" ht="15" hidden="false" customHeight="false" outlineLevel="0" collapsed="false">
      <c r="B139" s="28"/>
      <c r="C139" s="29" t="str">
        <f aca="false">IFERROR(CHOOSE(WEEKDAY(B139,2),"Senin","Selasa","Rabu","Kamis","Jumat","Sabtu","Minggu"),"")</f>
        <v>Sabtu</v>
      </c>
    </row>
    <row r="140" customFormat="false" ht="15" hidden="false" customHeight="false" outlineLevel="0" collapsed="false">
      <c r="B140" s="28"/>
      <c r="C140" s="29" t="str">
        <f aca="false">IFERROR(CHOOSE(WEEKDAY(B140,2),"Senin","Selasa","Rabu","Kamis","Jumat","Sabtu","Minggu"),"")</f>
        <v>Sabtu</v>
      </c>
    </row>
    <row r="141" customFormat="false" ht="15" hidden="false" customHeight="false" outlineLevel="0" collapsed="false">
      <c r="B141" s="28"/>
      <c r="C141" s="29" t="str">
        <f aca="false">IFERROR(CHOOSE(WEEKDAY(B141,2),"Senin","Selasa","Rabu","Kamis","Jumat","Sabtu","Minggu"),"")</f>
        <v>Sabtu</v>
      </c>
    </row>
    <row r="142" customFormat="false" ht="15" hidden="false" customHeight="false" outlineLevel="0" collapsed="false">
      <c r="B142" s="28"/>
      <c r="C142" s="29" t="str">
        <f aca="false">IFERROR(CHOOSE(WEEKDAY(B142,2),"Senin","Selasa","Rabu","Kamis","Jumat","Sabtu","Minggu"),"")</f>
        <v>Sabtu</v>
      </c>
    </row>
    <row r="143" customFormat="false" ht="15" hidden="false" customHeight="false" outlineLevel="0" collapsed="false">
      <c r="B143" s="28"/>
      <c r="C143" s="29" t="str">
        <f aca="false">IFERROR(CHOOSE(WEEKDAY(B143,2),"Senin","Selasa","Rabu","Kamis","Jumat","Sabtu","Minggu"),"")</f>
        <v>Sabtu</v>
      </c>
    </row>
    <row r="144" customFormat="false" ht="15" hidden="false" customHeight="false" outlineLevel="0" collapsed="false">
      <c r="B144" s="28"/>
      <c r="C144" s="29" t="str">
        <f aca="false">IFERROR(CHOOSE(WEEKDAY(B144,2),"Senin","Selasa","Rabu","Kamis","Jumat","Sabtu","Minggu"),"")</f>
        <v>Sabtu</v>
      </c>
    </row>
    <row r="145" customFormat="false" ht="15" hidden="false" customHeight="false" outlineLevel="0" collapsed="false">
      <c r="B145" s="28"/>
      <c r="C145" s="29" t="str">
        <f aca="false">IFERROR(CHOOSE(WEEKDAY(B145,2),"Senin","Selasa","Rabu","Kamis","Jumat","Sabtu","Minggu"),"")</f>
        <v>Sabtu</v>
      </c>
    </row>
    <row r="146" customFormat="false" ht="15" hidden="false" customHeight="false" outlineLevel="0" collapsed="false">
      <c r="B146" s="28"/>
      <c r="C146" s="29" t="str">
        <f aca="false">IFERROR(CHOOSE(WEEKDAY(B146,2),"Senin","Selasa","Rabu","Kamis","Jumat","Sabtu","Minggu"),"")</f>
        <v>Sabtu</v>
      </c>
    </row>
    <row r="147" customFormat="false" ht="15" hidden="false" customHeight="false" outlineLevel="0" collapsed="false">
      <c r="B147" s="28"/>
      <c r="C147" s="29" t="str">
        <f aca="false">IFERROR(CHOOSE(WEEKDAY(B147,2),"Senin","Selasa","Rabu","Kamis","Jumat","Sabtu","Minggu"),"")</f>
        <v>Sabtu</v>
      </c>
    </row>
    <row r="148" customFormat="false" ht="15" hidden="false" customHeight="false" outlineLevel="0" collapsed="false">
      <c r="B148" s="28"/>
      <c r="C148" s="29" t="str">
        <f aca="false">IFERROR(CHOOSE(WEEKDAY(B148,2),"Senin","Selasa","Rabu","Kamis","Jumat","Sabtu","Minggu"),"")</f>
        <v>Sabtu</v>
      </c>
    </row>
    <row r="149" customFormat="false" ht="15" hidden="false" customHeight="false" outlineLevel="0" collapsed="false">
      <c r="B149" s="28"/>
      <c r="C149" s="29" t="str">
        <f aca="false">IFERROR(CHOOSE(WEEKDAY(B149,2),"Senin","Selasa","Rabu","Kamis","Jumat","Sabtu","Minggu"),"")</f>
        <v>Sabtu</v>
      </c>
    </row>
    <row r="150" customFormat="false" ht="15" hidden="false" customHeight="false" outlineLevel="0" collapsed="false">
      <c r="B150" s="28"/>
      <c r="C150" s="29" t="str">
        <f aca="false">IFERROR(CHOOSE(WEEKDAY(B150,2),"Senin","Selasa","Rabu","Kamis","Jumat","Sabtu","Minggu"),"")</f>
        <v>Sabtu</v>
      </c>
    </row>
    <row r="151" customFormat="false" ht="15" hidden="false" customHeight="false" outlineLevel="0" collapsed="false">
      <c r="B151" s="28"/>
      <c r="C151" s="29" t="str">
        <f aca="false">IFERROR(CHOOSE(WEEKDAY(B151,2),"Senin","Selasa","Rabu","Kamis","Jumat","Sabtu","Minggu"),"")</f>
        <v>Sabtu</v>
      </c>
    </row>
    <row r="152" customFormat="false" ht="15" hidden="false" customHeight="false" outlineLevel="0" collapsed="false">
      <c r="B152" s="28"/>
      <c r="C152" s="29" t="str">
        <f aca="false">IFERROR(CHOOSE(WEEKDAY(B152,2),"Senin","Selasa","Rabu","Kamis","Jumat","Sabtu","Minggu"),"")</f>
        <v>Sabtu</v>
      </c>
    </row>
    <row r="153" customFormat="false" ht="15" hidden="false" customHeight="false" outlineLevel="0" collapsed="false">
      <c r="B153" s="28"/>
      <c r="C153" s="29" t="str">
        <f aca="false">IFERROR(CHOOSE(WEEKDAY(B153,2),"Senin","Selasa","Rabu","Kamis","Jumat","Sabtu","Minggu"),"")</f>
        <v>Sabtu</v>
      </c>
    </row>
    <row r="154" customFormat="false" ht="15" hidden="false" customHeight="false" outlineLevel="0" collapsed="false">
      <c r="B154" s="28"/>
      <c r="C154" s="29" t="str">
        <f aca="false">IFERROR(CHOOSE(WEEKDAY(B154,2),"Senin","Selasa","Rabu","Kamis","Jumat","Sabtu","Minggu"),"")</f>
        <v>Sabtu</v>
      </c>
    </row>
    <row r="155" customFormat="false" ht="15" hidden="false" customHeight="false" outlineLevel="0" collapsed="false">
      <c r="B155" s="28"/>
      <c r="C155" s="29" t="str">
        <f aca="false">IFERROR(CHOOSE(WEEKDAY(B155,2),"Senin","Selasa","Rabu","Kamis","Jumat","Sabtu","Minggu"),"")</f>
        <v>Sabtu</v>
      </c>
    </row>
  </sheetData>
  <mergeCells count="1">
    <mergeCell ref="B3:G3"/>
  </mergeCells>
  <conditionalFormatting sqref="F6:F155">
    <cfRule type="cellIs" priority="2" operator="equal" aboveAverage="0" equalAverage="0" bottom="0" percent="0" rank="0" text="" dxfId="2">
      <formula>"Tinggi"</formula>
    </cfRule>
    <cfRule type="cellIs" priority="3" operator="equal" aboveAverage="0" equalAverage="0" bottom="0" percent="0" rank="0" text="" dxfId="1">
      <formula>"Sedang"</formula>
    </cfRule>
    <cfRule type="cellIs" priority="4" operator="equal" aboveAverage="0" equalAverage="0" bottom="0" percent="0" rank="0" text="" dxfId="0">
      <formula>"Rendah"</formula>
    </cfRule>
  </conditionalFormatting>
  <conditionalFormatting sqref="G6:G155">
    <cfRule type="cellIs" priority="5" operator="equal" aboveAverage="0" equalAverage="0" bottom="0" percent="0" rank="0" text="" dxfId="0">
      <formula>"Selesai"</formula>
    </cfRule>
    <cfRule type="cellIs" priority="6" operator="equal" aboveAverage="0" equalAverage="0" bottom="0" percent="0" rank="0" text="" dxfId="1">
      <formula>"Proses"</formula>
    </cfRule>
    <cfRule type="cellIs" priority="7" operator="equal" aboveAverage="0" equalAverage="0" bottom="0" percent="0" rank="0" text="" dxfId="2">
      <formula>"Belum"</formula>
    </cfRule>
  </conditionalFormatting>
  <dataValidations count="3">
    <dataValidation allowBlank="true" errorStyle="stop" operator="between" showDropDown="false" showErrorMessage="false" showInputMessage="false" sqref="E6:E155" type="list">
      <formula1>"Kerja,Sekolah,Konten,Pribadi,Lainnya"</formula1>
      <formula2>0</formula2>
    </dataValidation>
    <dataValidation allowBlank="true" errorStyle="stop" operator="between" showDropDown="false" showErrorMessage="false" showInputMessage="false" sqref="F6:F155" type="list">
      <formula1>"Tinggi,Sedang,Rendah"</formula1>
      <formula2>0</formula2>
    </dataValidation>
    <dataValidation allowBlank="true" errorStyle="stop" operator="between" showDropDown="false" showErrorMessage="false" showInputMessage="false" sqref="G6:G155" type="list">
      <formula1>"Belum,Proses,Selesai"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5" min="3" style="0" width="16"/>
  </cols>
  <sheetData>
    <row r="2" customFormat="false" ht="19.7" hidden="false" customHeight="false" outlineLevel="0" collapsed="false">
      <c r="B2" s="1" t="s">
        <v>115</v>
      </c>
    </row>
    <row r="3" customFormat="false" ht="15" hidden="false" customHeight="false" outlineLevel="0" collapsed="false">
      <c r="B3" s="16" t="s">
        <v>116</v>
      </c>
      <c r="C3" s="16"/>
      <c r="D3" s="16"/>
    </row>
    <row r="5" customFormat="false" ht="15" hidden="false" customHeight="false" outlineLevel="0" collapsed="false">
      <c r="B5" s="17" t="s">
        <v>117</v>
      </c>
    </row>
    <row r="6" customFormat="false" ht="15" hidden="false" customHeight="false" outlineLevel="0" collapsed="false">
      <c r="B6" s="6" t="s">
        <v>88</v>
      </c>
      <c r="C6" s="6" t="s">
        <v>118</v>
      </c>
    </row>
    <row r="7" customFormat="false" ht="15" hidden="false" customHeight="false" outlineLevel="0" collapsed="false">
      <c r="B7" s="25" t="s">
        <v>119</v>
      </c>
      <c r="C7" s="30" t="n">
        <f aca="false">COUNTIF(TabelLogAgenda[Kategori],B7)</f>
        <v>0</v>
      </c>
    </row>
    <row r="8" customFormat="false" ht="15" hidden="false" customHeight="false" outlineLevel="0" collapsed="false">
      <c r="B8" s="25" t="s">
        <v>120</v>
      </c>
      <c r="C8" s="30" t="n">
        <f aca="false">COUNTIF(TabelLogAgenda[Kategori],B8)</f>
        <v>0</v>
      </c>
    </row>
    <row r="9" customFormat="false" ht="15" hidden="false" customHeight="false" outlineLevel="0" collapsed="false">
      <c r="B9" s="25" t="s">
        <v>121</v>
      </c>
      <c r="C9" s="30" t="n">
        <f aca="false">COUNTIF(TabelLogAgenda[Kategori],B9)</f>
        <v>0</v>
      </c>
    </row>
    <row r="10" customFormat="false" ht="15" hidden="false" customHeight="false" outlineLevel="0" collapsed="false">
      <c r="B10" s="25" t="s">
        <v>122</v>
      </c>
      <c r="C10" s="30" t="n">
        <f aca="false">COUNTIF(TabelLogAgenda[Kategori],B10)</f>
        <v>0</v>
      </c>
    </row>
    <row r="11" customFormat="false" ht="15" hidden="false" customHeight="false" outlineLevel="0" collapsed="false">
      <c r="B11" s="25" t="s">
        <v>123</v>
      </c>
      <c r="C11" s="30" t="n">
        <f aca="false">COUNTIF(TabelLogAgenda[Kategori],B11)</f>
        <v>0</v>
      </c>
    </row>
    <row r="14" customFormat="false" ht="15" hidden="false" customHeight="false" outlineLevel="0" collapsed="false">
      <c r="B14" s="17" t="s">
        <v>124</v>
      </c>
    </row>
    <row r="15" customFormat="false" ht="15" hidden="false" customHeight="false" outlineLevel="0" collapsed="false">
      <c r="B15" s="6" t="s">
        <v>89</v>
      </c>
      <c r="C15" s="6" t="s">
        <v>118</v>
      </c>
    </row>
    <row r="16" customFormat="false" ht="15" hidden="false" customHeight="false" outlineLevel="0" collapsed="false">
      <c r="B16" s="25" t="s">
        <v>125</v>
      </c>
      <c r="C16" s="30" t="n">
        <f aca="false">COUNTIF(TabelLogAgenda[Status],B16)</f>
        <v>0</v>
      </c>
    </row>
    <row r="17" customFormat="false" ht="15" hidden="false" customHeight="false" outlineLevel="0" collapsed="false">
      <c r="B17" s="25" t="s">
        <v>126</v>
      </c>
      <c r="C17" s="30" t="n">
        <f aca="false">COUNTIF(TabelLogAgenda[Status],B17)</f>
        <v>0</v>
      </c>
    </row>
    <row r="18" customFormat="false" ht="15" hidden="false" customHeight="false" outlineLevel="0" collapsed="false">
      <c r="B18" s="25" t="s">
        <v>127</v>
      </c>
      <c r="C18" s="30" t="n">
        <f aca="false">COUNTIF(TabelLogAgenda[Status],B18)</f>
        <v>0</v>
      </c>
    </row>
    <row r="20" customFormat="false" ht="15" hidden="false" customHeight="false" outlineLevel="0" collapsed="false">
      <c r="B20" s="17" t="s">
        <v>128</v>
      </c>
      <c r="C20" s="31" t="n">
        <f aca="false">COUNTA(TabelLogAgenda[Kegiatan / Deadline])</f>
        <v>0</v>
      </c>
    </row>
  </sheetData>
  <mergeCells count="1"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2026-07-07T23:13:29Z</dcterms:created>
  <dc:creator>openpyxl</dc:creator>
  <dc:description/>
  <dc:language>en-US</dc:language>
  <cp:lastModifiedBy/>
  <dcterms:modified xsi:type="dcterms:W3CDTF">2026-07-07T23:13:31Z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